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23"/>
  <workbookPr defaultThemeVersion="166925"/>
  <mc:AlternateContent xmlns:mc="http://schemas.openxmlformats.org/markup-compatibility/2006">
    <mc:Choice Requires="x15">
      <x15ac:absPath xmlns:x15ac="http://schemas.microsoft.com/office/spreadsheetml/2010/11/ac" url="/Users/adriokus/Downloads/"/>
    </mc:Choice>
  </mc:AlternateContent>
  <xr:revisionPtr revIDLastSave="211" documentId="13_ncr:1_{0A34C36D-22B1-D441-8DE8-C24A5627239D}" xr6:coauthVersionLast="47" xr6:coauthVersionMax="47" xr10:uidLastSave="{929757DA-41A5-481D-B9A0-740DB7820ED7}"/>
  <bookViews>
    <workbookView xWindow="0" yWindow="720" windowWidth="29400" windowHeight="18400" xr2:uid="{F5CD7B5D-F338-9D44-BDA0-3A81AD2780B7}"/>
  </bookViews>
  <sheets>
    <sheet name="TEMPLATE RPS" sheetId="1" r:id="rId1"/>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2" i="1" l="1"/>
  <c r="N20" i="1"/>
  <c r="D67" i="1"/>
  <c r="C67" i="1"/>
  <c r="G64" i="1"/>
  <c r="E64" i="1"/>
  <c r="C64" i="1"/>
  <c r="L25" i="1"/>
  <c r="H25" i="1"/>
  <c r="F25" i="1"/>
  <c r="D25" i="1"/>
  <c r="N21" i="1"/>
  <c r="N25" i="1"/>
</calcChain>
</file>

<file path=xl/sharedStrings.xml><?xml version="1.0" encoding="utf-8"?>
<sst xmlns="http://schemas.openxmlformats.org/spreadsheetml/2006/main" count="212" uniqueCount="133">
  <si>
    <t>LOGO UNIVERSITAS</t>
  </si>
  <si>
    <t>RENCANA PEMBELAJARAN SEMESTER &lt;DISESUAIKAN&gt; PROGRAM STUDI &lt;DISESUAIKAN&gt; FAKULTAS &lt;DISESUAIKAN&gt;</t>
  </si>
  <si>
    <t>Identitas Mata Kuliah</t>
  </si>
  <si>
    <t>NAMA MK</t>
  </si>
  <si>
    <t>KODE MK</t>
  </si>
  <si>
    <t>RUMPUN MATA KULIAH</t>
  </si>
  <si>
    <t>BOBOT(SKS)</t>
  </si>
  <si>
    <t>SEMESTER</t>
  </si>
  <si>
    <t>Direvisi</t>
  </si>
  <si>
    <t>KEWIRAUSAHAAN</t>
  </si>
  <si>
    <t>UCKXBDB2</t>
  </si>
  <si>
    <t>Ilmu Terapan</t>
  </si>
  <si>
    <t>T=2</t>
  </si>
  <si>
    <t>P=0</t>
  </si>
  <si>
    <t>&lt;DISESUAIKAN&gt;</t>
  </si>
  <si>
    <t>5 FEBRUARI 2024</t>
  </si>
  <si>
    <t>Otoritas</t>
  </si>
  <si>
    <t>Pengembang RPS</t>
  </si>
  <si>
    <t>Ketua Kelompok Keahlian</t>
  </si>
  <si>
    <t>Ka PRODI</t>
  </si>
  <si>
    <t>Adrio Kusmareza Adim, M.A., CEC</t>
  </si>
  <si>
    <t>Deskripsi Mata Kuliah</t>
  </si>
  <si>
    <t>Mata kuliah ini akan membantu mahasiswa yang memiliki ambisi untuk memulai bisnis mereka sendiri dengan mempelajari konsep dasar kewirausahaan; merealisasikan inovasi dan pengembangan ide dengan menyusun business plan; memahami cara kerja bisnis dalam ekonomi digital, bernegosiasi (proses pitching), bertanggung jawab (menyusun laporan keuangan); relasi usaha yang meliputi implementasi dan evaluasi business plan serta mengikuti market day.</t>
  </si>
  <si>
    <t>Program Learning Outcomes (PLO) &amp; Course Learning Outcomes</t>
  </si>
  <si>
    <t>Program Learning Outcomes (PLO) / CPL PRODI</t>
  </si>
  <si>
    <t>PLO 1</t>
  </si>
  <si>
    <t xml:space="preserve">Mampu menerapkan pemikiran logis, kritis, sistematis, dan inovatif dalam konteks pengembangan atau implementasi ilmu pengetahuan dan teknologi dengan menjunjung tinggi nilai kemanusiaan dalam menjalankan tugas berdasarkan agama, moral, dan etika
</t>
  </si>
  <si>
    <t>Course Learning Outcomes (CLO)</t>
  </si>
  <si>
    <t>PLO yang di dukung</t>
  </si>
  <si>
    <t>CLO 1</t>
  </si>
  <si>
    <t>Mampu memahami konteks kewirausahaan melalui perspektif proses, ekosistem, tipe, implikasi, pola historical, interaksi antar framing suatu bisnis melalui desain ide bisnis</t>
  </si>
  <si>
    <t>CLO 2</t>
  </si>
  <si>
    <t>Mampu merancang Business Plan untuk mendapatkan investasi modal usaha</t>
  </si>
  <si>
    <t>CLO 3</t>
  </si>
  <si>
    <t>Mampu mengimplementasikan Business Plan dan mengembangkan usaha dengan menerapkan ilmu pengetahuan, keterampilan digital marketing dan sikap positif yang dimiliki sehingga mampu menghasilkan keuntungan.</t>
  </si>
  <si>
    <t>Penilaian</t>
  </si>
  <si>
    <t>Id CLO</t>
  </si>
  <si>
    <t>Bobot per Bentuk Penilaian</t>
  </si>
  <si>
    <t>TOTAL BOBOT PER CLO</t>
  </si>
  <si>
    <t>Aktivitas Partisipatif</t>
  </si>
  <si>
    <t>Hasil Proyek</t>
  </si>
  <si>
    <t xml:space="preserve">Kognitif/Pengetahuan			</t>
  </si>
  <si>
    <t>PITCHING PROPOSAL BISNIS</t>
  </si>
  <si>
    <t>BUSINESS MODEL CANVAS</t>
  </si>
  <si>
    <t xml:space="preserve">LAPORAN AKHIR PENJUALAN  &amp; PRESENTASI </t>
  </si>
  <si>
    <t>KUIS</t>
  </si>
  <si>
    <t>Total per penilaian</t>
  </si>
  <si>
    <t>Pustaka</t>
  </si>
  <si>
    <t>Utama:</t>
  </si>
  <si>
    <t>1. Manajemen Kewirausahaan, Dr. H. Abdu Manap, S.E., M.M., Penerbit Mitra Wacana Media, 2018
2.  Digital Innovation and Entrepreneurship, Dr Dick Whittington,Cambridge University Press, 2018.
3. Osterwalder, Alexander dan Yves Pigneur,Business Model Generation,2020.</t>
  </si>
  <si>
    <t>Pustaka Pendukung:
 -</t>
  </si>
  <si>
    <t>1. The Cashflow Quadrant, Robert T. Kiyosaki, PT. Gramedia Pustaka Utama, 2013
2. Silicon Valley Mindset, Indra Utoyo, PT. Gramedia Pustaka Utama, 2016
3. Business is FUN!, Coach Yohanes G. Pauly, REJOFE Global Publishing, 2017
4. Finance for Nonfinancial Managers, Katherine Wagner, PT. Bhuana Ilmu Populer, 2005.</t>
  </si>
  <si>
    <t>Media Pembelajaran</t>
  </si>
  <si>
    <t>Software:</t>
  </si>
  <si>
    <t>Hardware :</t>
  </si>
  <si>
    <t>LMS</t>
  </si>
  <si>
    <t>Laptop, LCD Projector</t>
  </si>
  <si>
    <t>TeamTeaching</t>
  </si>
  <si>
    <t>Tim Dosen</t>
  </si>
  <si>
    <t>MatakuliahSyarat</t>
  </si>
  <si>
    <t>-</t>
  </si>
  <si>
    <t>Ambang Batas Kelulusan Mahasiswa</t>
  </si>
  <si>
    <t>Ambang Batas Kelulusan MK</t>
  </si>
  <si>
    <t>MINGGU KE-</t>
  </si>
  <si>
    <t>ID CLO</t>
  </si>
  <si>
    <t>DESKRIPSI SUB CLO</t>
  </si>
  <si>
    <t>INDIKATOR KETERCAPAIAN CLO</t>
  </si>
  <si>
    <t>BENTUK ASSESMEN</t>
  </si>
  <si>
    <t xml:space="preserve">MATERI </t>
  </si>
  <si>
    <t>METODE</t>
  </si>
  <si>
    <t>LUAR JARINGAN (TATAP MUKA)</t>
  </si>
  <si>
    <t>DALAM JARINGAN  (DARING)</t>
  </si>
  <si>
    <t>BOBOT SUB CLO</t>
  </si>
  <si>
    <t xml:space="preserve">Mampu menjelaskan pengertian kewirausahaan </t>
  </si>
  <si>
    <t>- Ketepatan mendefinisikan kewirausahaan,
- Keruntutan penjelasan perkembangan kewirausahaan,
- Ketajaman dan kejelasan dalam membedakan pengertian pekerja dan pengusaha.</t>
  </si>
  <si>
    <t>- Definisi kewirausahaan
- Karakteristik kewirausahaan
Pustaka :
1. Manajemen Kewirausahaan, Dr. H. Abdu Manap, S.E., M.M., Penerbit Mitra Wacana Media, 2018.
2.  Digital Innovation and Entrepreneurship, Dr Dick Whittington,Cambridge University Press, 2018.
3. Osterwalder, Alexander dan Yves Pigneur,Business Model Generation,2020.</t>
  </si>
  <si>
    <t>- Kuliah,
- Brainstorming,
- Diskusi kelompok</t>
  </si>
  <si>
    <t>Tatap Muka
(2x50menit)</t>
  </si>
  <si>
    <t>5%%</t>
  </si>
  <si>
    <t xml:space="preserve">Mampu menjelaskan pengertian inovasi, kreativitas, dan pengembangan ide
</t>
  </si>
  <si>
    <t>- Ketepatan mendefinisikan inovasi
- Penguasaan materi oleh mahasiswa tentang inovasi di bidang keilmuan yang dimiliki dalam Business plan</t>
  </si>
  <si>
    <r>
      <t xml:space="preserve">- Definisi inovasi
- Kegunaan inovasi/pengenbangan ide
- Contoh kasus
</t>
    </r>
    <r>
      <rPr>
        <sz val="10"/>
        <color rgb="FFFF0000"/>
        <rFont val="Arial"/>
        <family val="2"/>
      </rPr>
      <t>[Pembentukan Kelompok Bisnis][Pembuatan Ide Bisnis yang realistis, tidak melanggaran peraturan universitas, bukan bersifat pre-order dan bisa dijual dalam waktu 3 minggu (minggu 11 awarenes, minggu 12 consideration, minggu 13 conversion melaui market day), customer target jelas]
[Pembuatan Business Model Canvas]
[Merancang sampel produk]</t>
    </r>
    <r>
      <rPr>
        <sz val="10"/>
        <color rgb="FF000000"/>
        <rFont val="Arial"/>
        <family val="2"/>
      </rPr>
      <t xml:space="preserve">
Pustaka :
1. Manajemen Kewirausahaan, Dr. H. Abdu Manap, S.E., M.M., Penerbit Mitra Wacana Media, 2018.
2. Silicon Valley Mindset, Indra Utoyo, PT. Gramedia Pustaka Utama, 2016</t>
    </r>
  </si>
  <si>
    <t>- Kuliah (bahasa inggris),
- Brainstorming,
- Diskusi kelompok</t>
  </si>
  <si>
    <t xml:space="preserve">Mampu merancang business plan
</t>
  </si>
  <si>
    <t xml:space="preserve">Ketepatan merancang business plan
</t>
  </si>
  <si>
    <t>Menyusun Bisnis Model Canvas (Casebase)</t>
  </si>
  <si>
    <r>
      <t xml:space="preserve">Pengertian business plan :
- Definisi business plan
- Komponen business plan
- Manfaat business plan
</t>
    </r>
    <r>
      <rPr>
        <sz val="10"/>
        <color rgb="FFFF0000"/>
        <rFont val="Arial"/>
        <family val="2"/>
      </rPr>
      <t>[Membuat business Plan]
[Membuat Sampel Produk: menghitung biaya bahan dan jumlah produk yang dihasilkan]</t>
    </r>
    <r>
      <rPr>
        <sz val="10"/>
        <color rgb="FF000000"/>
        <rFont val="Arial"/>
        <family val="2"/>
      </rPr>
      <t xml:space="preserve">
Pustaka :
1. Manajemen Kewirausahaan, Dr. H. Abdu Manap, S.E., M.M., Penerbit Mitra Wacana Media, 2018
2.  Digital Innovation and Entrepreneurship, Dr Dick Whittington,Cambridge University Press, 2018.
3. Osterwalder, Alexander dan Yves Pigneur,Business Model Generation,2020.</t>
    </r>
  </si>
  <si>
    <t>2,5%%</t>
  </si>
  <si>
    <t xml:space="preserve">Mampu merancang Marketing Mix untuk Business Plan
</t>
  </si>
  <si>
    <t xml:space="preserve">- Ketepatan merancang marketing mix dan STP
- Ketepatan menentukan SWOT
</t>
  </si>
  <si>
    <r>
      <rPr>
        <sz val="10"/>
        <color rgb="FF000000"/>
        <rFont val="Arial"/>
      </rPr>
      <t xml:space="preserve">Pengertian marketing mix dan STP :
- Definisi marketing mix dan STP
- Komponen marketing mix dan STP
- Manfaat marketing mix dan STP
- Contoh penggunaan marketing mix dan STP
Pengertian SWOT :
- Defnisi SWOT
- Komponen SWOT
- Manfaat SWOT
- Contoh Penggunaan SWOT
</t>
    </r>
    <r>
      <rPr>
        <sz val="10"/>
        <color rgb="FFFF0000"/>
        <rFont val="Arial"/>
      </rPr>
      <t xml:space="preserve">[Menyusun business plan]
[Menguji sampel produk oleh kelompok bisnis lainnya] 
</t>
    </r>
    <r>
      <rPr>
        <sz val="10"/>
        <color rgb="FF000000"/>
        <rFont val="Arial"/>
      </rPr>
      <t>Pustaka :
1. Manajemen Kewirausahaan, Dr. H. Abdu Manap, S.E., M.M., Penerbit Mitra Wacana Media, 2018
2.  Digital Innovation and Entrepreneurship, Dr Dick Whittington,Cambridge University Press, 2018.
3. Osterwalder, Alexander dan Yves Pigneur,Business Model Generation,2020.</t>
    </r>
  </si>
  <si>
    <t xml:space="preserve">Mampu merencanakan aspek operasinal pada business plan
</t>
  </si>
  <si>
    <t xml:space="preserve">- Ketepatan menentukan lokasi, bahan baku, pemasok, peralatan, dan teknologi
- Ketepatan merancang proses produksi dan sumberdaya manusia
</t>
  </si>
  <si>
    <r>
      <t xml:space="preserve">Pengertian lokasi, bahan baku, pemasok, peralatan, dan teknologi :
- Definisi lokasi, bahan baku, pemasok, peralatan, dan teknologi
- Contoh penggunaan lokasi, bahan baku, pemasok, peralatan, dan teknologi
Pengertian proses produksi dan sumberdaya manusia :
- Definisi proses produksi dan sumberdaya manusia
- Contoh penggunaan proses produksi dan sumberdaya manusia
</t>
    </r>
    <r>
      <rPr>
        <sz val="10"/>
        <color rgb="FFFF0000"/>
        <rFont val="Arial"/>
        <family val="2"/>
      </rPr>
      <t>[Menyusun Business Plan]
[Menyempurnakan sampel Produk]</t>
    </r>
    <r>
      <rPr>
        <sz val="10"/>
        <color rgb="FF000000"/>
        <rFont val="Arial"/>
        <family val="2"/>
      </rPr>
      <t xml:space="preserve">
Pustaka :
1. Manajemen Kewirausahaan, Dr. H. Abdu Manap, S.E., M.M., Penerbit Mitra Wacana Media, 2018.
2. Business is FUN!, Coach Yohanes G. Pauly, REJOFE Global Publishing, 2017</t>
    </r>
  </si>
  <si>
    <t xml:space="preserve">Mampu menyusun aspek finansial pada business plan
</t>
  </si>
  <si>
    <t xml:space="preserve">- Ketepatan menyusun proyeksi pendapatan, pengeluaran, laba rugi, arus kas, dan payback period
</t>
  </si>
  <si>
    <r>
      <rPr>
        <sz val="10"/>
        <color rgb="FF000000"/>
        <rFont val="Arial"/>
      </rPr>
      <t xml:space="preserve">Pengertian pendapatan, pengeluaran, laba rugi, arus kas, dan payback period :
- Definisi pendapatan, pengeluaran, laba rugi, arus kas, dan payback period
- Contoh penggunaan pendapatan, pengeluaran, laba rugi, arus kas, dan payback period
</t>
    </r>
    <r>
      <rPr>
        <sz val="10"/>
        <color rgb="FFFF0000"/>
        <rFont val="Arial"/>
      </rPr>
      <t xml:space="preserve">[Membuat Proyeksi Cashflow]
[Menyempurnakan business plan]
[Membuat slide presentasi Pitching]
[Pendaftaran Pitching di BPA]
</t>
    </r>
    <r>
      <rPr>
        <sz val="10"/>
        <color rgb="FF000000"/>
        <rFont val="Arial"/>
      </rPr>
      <t xml:space="preserve">Pustaka :
1. Manajemen Kewirausahaan, Dr. H. Abdu Manap, S.E., M.M., Penerbit Mitra Wacana Media, 2018.
2. Business is FUN!, Coach Yohanes G. Pauly, REJOFE Global Publishing, 2017;
3. Finance for Nonfinancial Managers, Katherine Wagner, PT. Bhuana Ilmu Populer, 2005.
</t>
    </r>
  </si>
  <si>
    <t xml:space="preserve">Mampu melakukan negosiasi untuk mendapatkan pendanaan dari investor
</t>
  </si>
  <si>
    <t>- Kemampuan negosiasi untuk mendapatkan pendanaan dari investor</t>
  </si>
  <si>
    <t xml:space="preserve">Pitching 
- Sampel Produk
- Proyeksi Cashflow
- Slide presentasi
</t>
  </si>
  <si>
    <r>
      <rPr>
        <sz val="10"/>
        <color rgb="FF000000"/>
        <rFont val="Arial"/>
      </rPr>
      <t xml:space="preserve">Negosiasi
</t>
    </r>
    <r>
      <rPr>
        <sz val="10"/>
        <color rgb="FFFF0000"/>
        <rFont val="Arial"/>
      </rPr>
      <t xml:space="preserve">[Membuat Proyeksi Cashflow]
[Menyempurnakan business plan]
[Membuat slide presentasi Pitching]
[Pendaftaran Pitching di BPA]
</t>
    </r>
    <r>
      <rPr>
        <sz val="10"/>
        <color rgb="FF000000"/>
        <rFont val="Arial"/>
      </rPr>
      <t>Pustaka :
Seni Menaklukkan Penjual dengan Negosiasi, Istijanto, PT. Gramedia Pustaka Utama</t>
    </r>
  </si>
  <si>
    <t xml:space="preserve">- Kuliah
- Diskusi
</t>
  </si>
  <si>
    <t xml:space="preserve">Tatap Muka
</t>
  </si>
  <si>
    <t>5%</t>
  </si>
  <si>
    <t>Pitching 
- Sampel Produk
- Proyeksi Cashflow
- Slide presentasi</t>
  </si>
  <si>
    <t>Pitching</t>
  </si>
  <si>
    <t>Presentasi Pitching</t>
  </si>
  <si>
    <t xml:space="preserve">Mampu menerapkan business plan dan mengembangkan usaha untuk menghasilkan keuntungan 
</t>
  </si>
  <si>
    <t>Kemampuan dalam mengimplementasikan business plan untuk menghasilkan keuntungan</t>
  </si>
  <si>
    <t>LAPORAN AKHIR PENJUALAN DAN PRESENTASI</t>
  </si>
  <si>
    <r>
      <rPr>
        <sz val="10"/>
        <color rgb="FF000000"/>
        <rFont val="Arial"/>
      </rPr>
      <t xml:space="preserve">Persiapan Produksi &amp; Penjualan
</t>
    </r>
    <r>
      <rPr>
        <sz val="10"/>
        <color rgb="FFFF0000"/>
        <rFont val="Arial"/>
      </rPr>
      <t xml:space="preserve">[Konfirmasi Hasil Pitching]  
</t>
    </r>
  </si>
  <si>
    <t xml:space="preserve">
- Diskusi </t>
  </si>
  <si>
    <r>
      <rPr>
        <sz val="10"/>
        <color rgb="FF000000"/>
        <rFont val="Arial"/>
      </rPr>
      <t xml:space="preserve">Periode Penjualan Pekan 1
</t>
    </r>
    <r>
      <rPr>
        <sz val="10"/>
        <color rgb="FFFF0000"/>
        <rFont val="Arial"/>
      </rPr>
      <t xml:space="preserve">[Pencairan dana dari Investor (jika dana belum cair mahasiswa disarankan untuk berjualan menggunakan dana kelompok terlebih dahulu)]
</t>
    </r>
  </si>
  <si>
    <t>Praktek Penjualan</t>
  </si>
  <si>
    <t>Daring
(2x50menit)</t>
  </si>
  <si>
    <t>Periode Penjulan Pekan 2</t>
  </si>
  <si>
    <t>Praktek penjualan</t>
  </si>
  <si>
    <r>
      <rPr>
        <sz val="10"/>
        <color rgb="FF000000"/>
        <rFont val="Arial"/>
      </rPr>
      <t xml:space="preserve">Periode Penjualan Pekan 3
</t>
    </r>
    <r>
      <rPr>
        <sz val="10"/>
        <color rgb="FFFF0000"/>
        <rFont val="Arial"/>
      </rPr>
      <t>[MARKET DAY]</t>
    </r>
  </si>
  <si>
    <t>Evaluasi dan Laporan Akhir Penjualan</t>
  </si>
  <si>
    <t>Laporan Akhir &amp; Pengembalian Investasi</t>
  </si>
  <si>
    <t>Notes:</t>
  </si>
  <si>
    <t>Ambang Batas Kelulusan Mahasiswa merupakan batas minimal nilai yang harus dicapai mahasiswa untuk setiap CLO pada MK</t>
  </si>
  <si>
    <t xml:space="preserve">Ambang Batas Kelulusan Mata Kuliah merupakan batas minimal persentase jumlah mahasiswa dalam satu periode pengajaran yang memperoleh nilai &gt;= Ambang Batas Kelulusan Mahasiswa </t>
  </si>
  <si>
    <t>Contoh:</t>
  </si>
  <si>
    <t>Dalam 1 kelas terdapat 50 mahasiswa, dimana 30 diantaranya mendapatkan nilai akhir lebih dari 50,01; 15 mahasiswa memperoleh nilai di bawah 50,00; sementara 5 lainnya memperoleh nilai 50,00</t>
  </si>
  <si>
    <t>maka persentase untuk 1 CLO pada MK ini sebagai berikut</t>
  </si>
  <si>
    <t>di atas ambang batas</t>
  </si>
  <si>
    <t>sesuai ambang batas</t>
  </si>
  <si>
    <t>di bawah ambang batas</t>
  </si>
  <si>
    <t>Status MK</t>
  </si>
  <si>
    <t>CLO1</t>
  </si>
  <si>
    <t>FAILED</t>
  </si>
  <si>
    <t>karena persentase jumlah mahasiswa yang berada di bawah ambang batas kelulusan lebih dari 14.5%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</si>
</sst>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color rgb="FF000000"/>
      <name val="Arial"/>
      <family val="2"/>
    </font>
    <font>
      <sz val="10"/>
      <color rgb="FF000000"/>
      <name val="Arial"/>
      <family val="2"/>
    </font>
    <font>
      <b/>
      <sz val="14"/>
      <color theme="1"/>
      <name val="Arial"/>
      <family val="2"/>
    </font>
    <font>
      <sz val="10"/>
      <name val="Arial"/>
      <family val="2"/>
    </font>
    <font>
      <b/>
      <sz val="14"/>
      <color rgb="FF000000"/>
      <name val="Arial"/>
      <family val="2"/>
    </font>
    <font>
      <b/>
      <sz val="11"/>
      <color rgb="FF000000"/>
      <name val="Arial"/>
      <family val="2"/>
    </font>
    <font>
      <b/>
      <sz val="11"/>
      <color rgb="FF000000"/>
      <name val="Calibri"/>
      <family val="2"/>
    </font>
    <font>
      <sz val="11"/>
      <color rgb="FF000000"/>
      <name val="Arial"/>
      <family val="2"/>
    </font>
    <font>
      <sz val="11"/>
      <color theme="1"/>
      <name val="Calibri"/>
      <family val="2"/>
    </font>
    <font>
      <sz val="11"/>
      <color rgb="FF000000"/>
      <name val="Calibri"/>
      <family val="2"/>
    </font>
    <font>
      <b/>
      <sz val="11"/>
      <color theme="1"/>
      <name val="Calibri"/>
      <family val="2"/>
    </font>
    <font>
      <b/>
      <sz val="11"/>
      <color theme="1"/>
      <name val="Arial"/>
      <family val="2"/>
    </font>
    <font>
      <sz val="11"/>
      <color theme="1"/>
      <name val="Arial"/>
      <family val="2"/>
    </font>
    <font>
      <b/>
      <sz val="10"/>
      <color theme="1"/>
      <name val="Arial"/>
      <family val="2"/>
    </font>
    <font>
      <sz val="10"/>
      <color theme="1"/>
      <name val="Arial"/>
      <family val="2"/>
    </font>
    <font>
      <sz val="10"/>
      <color rgb="FFFF0000"/>
      <name val="Arial"/>
      <family val="2"/>
    </font>
    <font>
      <sz val="10"/>
      <color rgb="FF000000"/>
      <name val="Arial"/>
    </font>
    <font>
      <sz val="10"/>
      <color rgb="FFFF0000"/>
      <name val="Arial"/>
    </font>
  </fonts>
  <fills count="9">
    <fill>
      <patternFill patternType="none"/>
    </fill>
    <fill>
      <patternFill patternType="gray125"/>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FFC000"/>
        <bgColor indexed="64"/>
      </patternFill>
    </fill>
    <fill>
      <patternFill patternType="solid">
        <fgColor rgb="FFFFFFFF"/>
        <bgColor rgb="FFFFFFFF"/>
      </patternFill>
    </fill>
    <fill>
      <patternFill patternType="solid">
        <fgColor rgb="FFEFEFEF"/>
        <bgColor rgb="FFEFEFEF"/>
      </patternFill>
    </fill>
    <fill>
      <patternFill patternType="solid">
        <fgColor rgb="FFD0CECE"/>
        <bgColor rgb="FFD0CECE"/>
      </patternFill>
    </fill>
  </fills>
  <borders count="12">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05">
    <xf numFmtId="0" fontId="0" fillId="0" borderId="0" xfId="0"/>
    <xf numFmtId="0" fontId="6" fillId="3" borderId="8" xfId="0" applyFont="1" applyFill="1" applyBorder="1" applyAlignment="1">
      <alignment horizontal="center" vertical="center"/>
    </xf>
    <xf numFmtId="15" fontId="7" fillId="0" borderId="7" xfId="0" quotePrefix="1" applyNumberFormat="1" applyFont="1" applyBorder="1" applyAlignment="1">
      <alignment horizontal="center" vertical="center"/>
    </xf>
    <xf numFmtId="9" fontId="0" fillId="0" borderId="0" xfId="0" applyNumberFormat="1" applyAlignment="1">
      <alignment horizontal="center"/>
    </xf>
    <xf numFmtId="2" fontId="7" fillId="0" borderId="8" xfId="0" applyNumberFormat="1" applyFont="1" applyBorder="1" applyAlignment="1">
      <alignment horizontal="center"/>
    </xf>
    <xf numFmtId="10" fontId="12" fillId="0" borderId="8" xfId="0" applyNumberFormat="1" applyFont="1" applyBorder="1" applyAlignment="1">
      <alignment horizontal="center"/>
    </xf>
    <xf numFmtId="0" fontId="13" fillId="2" borderId="8"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14" fillId="0" borderId="11" xfId="0" applyFont="1" applyBorder="1" applyAlignment="1">
      <alignment horizontal="center" vertical="center"/>
    </xf>
    <xf numFmtId="0" fontId="7" fillId="6" borderId="7" xfId="0" applyFont="1" applyFill="1" applyBorder="1" applyAlignment="1">
      <alignment horizontal="center" vertical="center"/>
    </xf>
    <xf numFmtId="0" fontId="0" fillId="0" borderId="7" xfId="0" quotePrefix="1" applyBorder="1" applyAlignment="1">
      <alignment horizontal="left" vertical="center" wrapText="1"/>
    </xf>
    <xf numFmtId="0" fontId="0" fillId="0" borderId="7" xfId="0" quotePrefix="1" applyBorder="1" applyAlignment="1">
      <alignment vertical="center" wrapText="1"/>
    </xf>
    <xf numFmtId="0" fontId="0" fillId="0" borderId="7" xfId="0" applyBorder="1" applyAlignment="1">
      <alignment vertical="center" wrapText="1"/>
    </xf>
    <xf numFmtId="0" fontId="1" fillId="0" borderId="7" xfId="0" applyFont="1" applyBorder="1" applyAlignment="1">
      <alignment vertical="center" wrapText="1"/>
    </xf>
    <xf numFmtId="0" fontId="7" fillId="0" borderId="7" xfId="0" applyFont="1" applyBorder="1" applyAlignment="1">
      <alignment horizontal="center" vertical="center"/>
    </xf>
    <xf numFmtId="0" fontId="14" fillId="0" borderId="0" xfId="0" applyFont="1"/>
    <xf numFmtId="10" fontId="14" fillId="0" borderId="0" xfId="0" applyNumberFormat="1" applyFont="1"/>
    <xf numFmtId="0" fontId="7" fillId="6" borderId="6" xfId="0" applyFont="1" applyFill="1" applyBorder="1" applyAlignment="1">
      <alignment horizontal="center" vertical="top"/>
    </xf>
    <xf numFmtId="0" fontId="5" fillId="7" borderId="6" xfId="0" applyFont="1" applyFill="1" applyBorder="1" applyAlignment="1">
      <alignment horizontal="center" vertical="top"/>
    </xf>
    <xf numFmtId="0" fontId="16" fillId="0" borderId="7" xfId="0" applyFont="1" applyBorder="1" applyAlignment="1">
      <alignment vertical="center" wrapText="1"/>
    </xf>
    <xf numFmtId="0" fontId="16" fillId="0" borderId="7" xfId="0" applyFont="1" applyBorder="1" applyAlignment="1">
      <alignment horizontal="left" vertical="center" wrapText="1"/>
    </xf>
    <xf numFmtId="9" fontId="0" fillId="0" borderId="1" xfId="0" quotePrefix="1" applyNumberFormat="1" applyBorder="1" applyAlignment="1">
      <alignment horizontal="center" vertical="center"/>
    </xf>
    <xf numFmtId="9" fontId="0" fillId="0" borderId="2" xfId="0" quotePrefix="1" applyNumberFormat="1" applyBorder="1" applyAlignment="1">
      <alignment horizontal="center" vertical="center"/>
    </xf>
    <xf numFmtId="9" fontId="0" fillId="0" borderId="6" xfId="0" quotePrefix="1" applyNumberFormat="1" applyBorder="1" applyAlignment="1">
      <alignment horizontal="center" vertical="center"/>
    </xf>
    <xf numFmtId="0" fontId="0" fillId="0" borderId="6" xfId="0" applyBorder="1" applyAlignment="1">
      <alignment horizontal="center" vertical="center" wrapText="1"/>
    </xf>
    <xf numFmtId="9" fontId="0" fillId="0" borderId="6" xfId="0" applyNumberFormat="1" applyBorder="1" applyAlignment="1">
      <alignment horizontal="center" vertical="center" wrapText="1"/>
    </xf>
    <xf numFmtId="9" fontId="0" fillId="0" borderId="6" xfId="0" quotePrefix="1" applyNumberFormat="1" applyBorder="1" applyAlignment="1">
      <alignment horizontal="center" vertical="center" wrapText="1"/>
    </xf>
    <xf numFmtId="0" fontId="13" fillId="2" borderId="3" xfId="0" applyFont="1" applyFill="1" applyBorder="1" applyAlignment="1">
      <alignment horizontal="center" vertical="center" wrapText="1"/>
    </xf>
    <xf numFmtId="0" fontId="2" fillId="2" borderId="1" xfId="0" applyFont="1" applyFill="1" applyBorder="1" applyAlignment="1">
      <alignment horizontal="center" vertical="center"/>
    </xf>
    <xf numFmtId="0" fontId="4" fillId="2" borderId="3" xfId="0" applyFont="1" applyFill="1" applyBorder="1" applyAlignment="1">
      <alignment vertical="top" wrapText="1"/>
    </xf>
    <xf numFmtId="0" fontId="5" fillId="0" borderId="4" xfId="0" applyFont="1" applyBorder="1" applyAlignment="1">
      <alignment vertical="top"/>
    </xf>
    <xf numFmtId="0" fontId="5" fillId="3" borderId="6" xfId="0" applyFont="1" applyFill="1" applyBorder="1" applyAlignment="1">
      <alignment horizontal="center" vertical="center"/>
    </xf>
    <xf numFmtId="0" fontId="6" fillId="3" borderId="6" xfId="0" applyFont="1" applyFill="1" applyBorder="1" applyAlignment="1">
      <alignment horizontal="center" vertical="center"/>
    </xf>
    <xf numFmtId="0" fontId="7" fillId="0" borderId="6" xfId="0" applyFont="1" applyBorder="1" applyAlignment="1">
      <alignment horizontal="center" vertical="center"/>
    </xf>
    <xf numFmtId="0" fontId="8" fillId="0" borderId="6" xfId="0" applyFont="1" applyBorder="1" applyAlignment="1">
      <alignment horizontal="center" vertical="center"/>
    </xf>
    <xf numFmtId="0" fontId="9" fillId="0" borderId="6" xfId="0" applyFont="1" applyBorder="1" applyAlignment="1">
      <alignment horizontal="center" vertical="center"/>
    </xf>
    <xf numFmtId="0" fontId="6" fillId="4" borderId="6" xfId="0" applyFont="1" applyFill="1" applyBorder="1" applyAlignment="1">
      <alignment horizontal="center" vertical="top"/>
    </xf>
    <xf numFmtId="0" fontId="10" fillId="4" borderId="6" xfId="0" applyFont="1" applyFill="1" applyBorder="1" applyAlignment="1">
      <alignment horizontal="center"/>
    </xf>
    <xf numFmtId="0" fontId="7" fillId="0" borderId="6" xfId="0" applyFont="1" applyBorder="1" applyAlignment="1">
      <alignment horizontal="center" vertical="center" wrapText="1"/>
    </xf>
    <xf numFmtId="0" fontId="3" fillId="0" borderId="6" xfId="0" applyFont="1" applyBorder="1" applyAlignment="1">
      <alignment vertical="center"/>
    </xf>
    <xf numFmtId="0" fontId="3" fillId="0" borderId="7" xfId="0" applyFont="1" applyBorder="1" applyAlignment="1">
      <alignment vertical="center"/>
    </xf>
    <xf numFmtId="0" fontId="6" fillId="3" borderId="6" xfId="0" applyFont="1" applyFill="1" applyBorder="1" applyAlignment="1">
      <alignment vertical="top"/>
    </xf>
    <xf numFmtId="0" fontId="7" fillId="5" borderId="1" xfId="0" applyFont="1" applyFill="1" applyBorder="1" applyAlignment="1">
      <alignment vertical="top"/>
    </xf>
    <xf numFmtId="0" fontId="7" fillId="5" borderId="2" xfId="0" applyFont="1" applyFill="1" applyBorder="1" applyAlignment="1">
      <alignment vertical="top"/>
    </xf>
    <xf numFmtId="0" fontId="7" fillId="0" borderId="1" xfId="0" applyFont="1" applyBorder="1" applyAlignment="1">
      <alignment vertical="top" wrapText="1"/>
    </xf>
    <xf numFmtId="0" fontId="7" fillId="0" borderId="3" xfId="0" applyFont="1" applyBorder="1" applyAlignment="1">
      <alignment vertical="top" wrapText="1"/>
    </xf>
    <xf numFmtId="0" fontId="7" fillId="0" borderId="2" xfId="0" applyFont="1" applyBorder="1" applyAlignment="1">
      <alignment vertical="top" wrapText="1"/>
    </xf>
    <xf numFmtId="0" fontId="7" fillId="0" borderId="6" xfId="0" applyFont="1" applyBorder="1" applyAlignment="1">
      <alignment vertical="top"/>
    </xf>
    <xf numFmtId="0" fontId="11" fillId="0" borderId="9" xfId="0" applyFont="1" applyBorder="1" applyAlignment="1">
      <alignment vertical="top"/>
    </xf>
    <xf numFmtId="0" fontId="7" fillId="0" borderId="6" xfId="0" applyFont="1" applyBorder="1" applyAlignment="1">
      <alignment vertical="center" wrapText="1"/>
    </xf>
    <xf numFmtId="0" fontId="11" fillId="0" borderId="4" xfId="0" applyFont="1" applyBorder="1" applyAlignment="1">
      <alignment vertical="top" wrapText="1"/>
    </xf>
    <xf numFmtId="0" fontId="7" fillId="0" borderId="6" xfId="0" applyFont="1" applyBorder="1" applyAlignment="1">
      <alignment vertical="top" wrapText="1"/>
    </xf>
    <xf numFmtId="0" fontId="7" fillId="5" borderId="6" xfId="0" applyFont="1" applyFill="1" applyBorder="1" applyAlignment="1">
      <alignment vertical="top"/>
    </xf>
    <xf numFmtId="0" fontId="7" fillId="0" borderId="0" xfId="0" applyFont="1" applyAlignment="1">
      <alignment vertical="top"/>
    </xf>
    <xf numFmtId="0" fontId="7" fillId="0" borderId="6" xfId="0" applyFont="1" applyBorder="1" applyAlignment="1">
      <alignment wrapText="1"/>
    </xf>
    <xf numFmtId="0" fontId="3" fillId="0" borderId="6" xfId="0" applyFont="1" applyBorder="1" applyAlignment="1">
      <alignment wrapText="1"/>
    </xf>
    <xf numFmtId="0" fontId="3" fillId="0" borderId="7" xfId="0" applyFont="1" applyBorder="1" applyAlignment="1">
      <alignment wrapText="1"/>
    </xf>
    <xf numFmtId="0" fontId="11" fillId="0" borderId="4" xfId="0" applyFont="1" applyBorder="1" applyAlignment="1">
      <alignment vertical="top"/>
    </xf>
    <xf numFmtId="0" fontId="5" fillId="4" borderId="10"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9" xfId="0" applyFont="1" applyFill="1" applyBorder="1" applyAlignment="1">
      <alignment horizontal="center" vertical="center"/>
    </xf>
    <xf numFmtId="0" fontId="5" fillId="4" borderId="8" xfId="0" applyFont="1" applyFill="1" applyBorder="1" applyAlignment="1">
      <alignment horizontal="center" vertical="center" wrapText="1"/>
    </xf>
    <xf numFmtId="0" fontId="5" fillId="4" borderId="8" xfId="0" applyFont="1" applyFill="1" applyBorder="1" applyAlignment="1">
      <alignment horizontal="center" vertical="center"/>
    </xf>
    <xf numFmtId="0" fontId="7" fillId="0" borderId="8" xfId="0" applyFont="1" applyBorder="1" applyAlignment="1">
      <alignment horizontal="center"/>
    </xf>
    <xf numFmtId="0" fontId="12" fillId="0" borderId="8" xfId="0" applyFont="1" applyBorder="1" applyAlignment="1">
      <alignment horizontal="center" vertical="center"/>
    </xf>
    <xf numFmtId="0" fontId="3" fillId="0" borderId="8" xfId="0" applyFont="1" applyBorder="1" applyAlignment="1">
      <alignment horizontal="center"/>
    </xf>
    <xf numFmtId="0" fontId="7" fillId="0" borderId="8" xfId="0" applyFont="1" applyBorder="1" applyAlignment="1">
      <alignment horizontal="center" vertical="center" wrapText="1"/>
    </xf>
    <xf numFmtId="0" fontId="3" fillId="0" borderId="8" xfId="0" applyFont="1" applyBorder="1" applyAlignment="1">
      <alignment wrapText="1"/>
    </xf>
    <xf numFmtId="0" fontId="7" fillId="0" borderId="8" xfId="0" applyFont="1" applyBorder="1" applyAlignment="1">
      <alignment horizontal="center" vertical="center"/>
    </xf>
    <xf numFmtId="9" fontId="0" fillId="0" borderId="0" xfId="0" applyNumberFormat="1" applyAlignment="1">
      <alignment horizontal="center" vertical="center"/>
    </xf>
    <xf numFmtId="0" fontId="0" fillId="0" borderId="0" xfId="0"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7" borderId="8" xfId="0" applyFont="1" applyFill="1" applyBorder="1" applyAlignment="1">
      <alignment horizontal="center" vertical="center"/>
    </xf>
    <xf numFmtId="0" fontId="6" fillId="8" borderId="6" xfId="0" applyFont="1" applyFill="1" applyBorder="1" applyAlignment="1">
      <alignment vertical="top"/>
    </xf>
    <xf numFmtId="0" fontId="0" fillId="0" borderId="6" xfId="0" applyBorder="1" applyAlignment="1">
      <alignment vertical="center" wrapText="1"/>
    </xf>
    <xf numFmtId="0" fontId="14" fillId="0" borderId="6" xfId="0" quotePrefix="1" applyFont="1" applyBorder="1" applyAlignment="1">
      <alignment vertical="center" wrapText="1"/>
    </xf>
    <xf numFmtId="0" fontId="3" fillId="0" borderId="7" xfId="0" applyFont="1" applyBorder="1" applyAlignment="1">
      <alignment horizontal="center"/>
    </xf>
    <xf numFmtId="0" fontId="0" fillId="0" borderId="6" xfId="0" quotePrefix="1" applyBorder="1" applyAlignment="1">
      <alignment horizontal="left" vertical="center" wrapText="1"/>
    </xf>
    <xf numFmtId="0" fontId="3" fillId="0" borderId="7" xfId="0" applyFont="1" applyBorder="1" applyAlignment="1">
      <alignment horizontal="left"/>
    </xf>
    <xf numFmtId="0" fontId="1" fillId="0" borderId="6" xfId="0" applyFont="1" applyBorder="1" applyAlignment="1">
      <alignment horizontal="left" vertical="center" wrapText="1"/>
    </xf>
    <xf numFmtId="0" fontId="0" fillId="0" borderId="6" xfId="0" applyBorder="1" applyAlignment="1">
      <alignment horizontal="left" vertical="center" wrapText="1"/>
    </xf>
    <xf numFmtId="0" fontId="1" fillId="0" borderId="6" xfId="0" applyFont="1" applyBorder="1" applyAlignment="1">
      <alignment vertical="center" wrapText="1"/>
    </xf>
    <xf numFmtId="0" fontId="1" fillId="0" borderId="6" xfId="0" quotePrefix="1" applyFont="1" applyBorder="1" applyAlignment="1">
      <alignment vertical="center" wrapText="1"/>
    </xf>
    <xf numFmtId="0" fontId="1" fillId="0" borderId="1" xfId="0" quotePrefix="1" applyFont="1" applyBorder="1" applyAlignment="1">
      <alignment horizontal="left" vertical="center" wrapText="1"/>
    </xf>
    <xf numFmtId="0" fontId="1" fillId="0" borderId="2" xfId="0" quotePrefix="1" applyFont="1" applyBorder="1" applyAlignment="1">
      <alignment horizontal="left"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6" xfId="0" quotePrefix="1" applyFont="1" applyBorder="1" applyAlignment="1">
      <alignment horizontal="left" vertical="center" wrapText="1"/>
    </xf>
    <xf numFmtId="0" fontId="3" fillId="0" borderId="2" xfId="0" applyFont="1" applyBorder="1" applyAlignment="1"/>
    <xf numFmtId="0" fontId="3" fillId="0" borderId="3" xfId="0" applyFont="1" applyBorder="1" applyAlignment="1"/>
    <xf numFmtId="0" fontId="3" fillId="0" borderId="5" xfId="0" applyFont="1" applyBorder="1" applyAlignment="1"/>
    <xf numFmtId="0" fontId="3" fillId="0" borderId="7" xfId="0" applyFont="1" applyBorder="1" applyAlignment="1"/>
    <xf numFmtId="0" fontId="3" fillId="0" borderId="6" xfId="0" applyFont="1" applyBorder="1" applyAlignment="1"/>
    <xf numFmtId="0" fontId="3" fillId="0" borderId="9" xfId="0" applyFont="1" applyBorder="1" applyAlignment="1"/>
    <xf numFmtId="0" fontId="3" fillId="0" borderId="4" xfId="0" applyFont="1" applyBorder="1" applyAlignment="1"/>
    <xf numFmtId="0" fontId="7" fillId="0" borderId="6" xfId="0" applyFont="1" applyBorder="1" applyAlignment="1"/>
    <xf numFmtId="0" fontId="3" fillId="5" borderId="7" xfId="0" applyFont="1" applyFill="1" applyBorder="1" applyAlignment="1"/>
    <xf numFmtId="0" fontId="3" fillId="5" borderId="5" xfId="0" applyFont="1" applyFill="1" applyBorder="1" applyAlignment="1"/>
    <xf numFmtId="0" fontId="3" fillId="0" borderId="0" xfId="0" applyFont="1" applyAlignment="1"/>
    <xf numFmtId="0" fontId="3" fillId="0" borderId="8" xfId="0" applyFont="1" applyBorder="1" applyAlignment="1"/>
    <xf numFmtId="0" fontId="12" fillId="0" borderId="6" xfId="0" applyFont="1" applyBorder="1" applyAlignment="1"/>
    <xf numFmtId="0" fontId="7" fillId="0" borderId="6" xfId="0" quotePrefix="1" applyFont="1" applyBorder="1" applyAlignment="1"/>
    <xf numFmtId="0" fontId="11" fillId="0" borderId="1" xfId="0" applyFont="1" applyBorder="1" applyAlignment="1"/>
    <xf numFmtId="0" fontId="12" fillId="0" borderId="1"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7E337-F125-7743-8116-6A1B2665F52A}">
  <sheetPr>
    <tabColor rgb="FF0000FF"/>
    <outlinePr summaryBelow="0" summaryRight="0"/>
  </sheetPr>
  <dimension ref="A1:S1000"/>
  <sheetViews>
    <sheetView tabSelected="1" topLeftCell="C41" zoomScale="120" zoomScaleNormal="120" workbookViewId="0">
      <selection activeCell="K42" sqref="K42:L42"/>
    </sheetView>
  </sheetViews>
  <sheetFormatPr defaultColWidth="14.42578125" defaultRowHeight="15" customHeight="1"/>
  <cols>
    <col min="1" max="1" width="14.42578125" customWidth="1"/>
    <col min="2" max="2" width="22.42578125" customWidth="1"/>
    <col min="3" max="3" width="13.7109375" customWidth="1"/>
    <col min="4" max="4" width="12.85546875" customWidth="1"/>
    <col min="5" max="5" width="10.7109375" customWidth="1"/>
    <col min="6" max="6" width="20.28515625" customWidth="1"/>
    <col min="7" max="7" width="21.42578125" customWidth="1"/>
    <col min="8" max="8" width="9.28515625" customWidth="1"/>
    <col min="9" max="9" width="9.140625" customWidth="1"/>
    <col min="10" max="10" width="46.42578125" customWidth="1"/>
    <col min="11" max="11" width="14.42578125" customWidth="1"/>
    <col min="13" max="13" width="14.42578125" customWidth="1"/>
    <col min="16" max="16" width="20" bestFit="1" customWidth="1"/>
    <col min="17" max="17" width="6.85546875" customWidth="1"/>
    <col min="18" max="18" width="8.5703125" customWidth="1"/>
  </cols>
  <sheetData>
    <row r="1" spans="1:16" ht="18">
      <c r="A1" s="28" t="s">
        <v>0</v>
      </c>
      <c r="B1" s="89"/>
      <c r="C1" s="29" t="s">
        <v>1</v>
      </c>
      <c r="D1" s="90"/>
      <c r="E1" s="90"/>
      <c r="F1" s="90"/>
      <c r="G1" s="90"/>
      <c r="H1" s="90"/>
      <c r="I1" s="90"/>
      <c r="J1" s="90"/>
      <c r="K1" s="90"/>
      <c r="L1" s="90"/>
      <c r="M1" s="90"/>
      <c r="N1" s="90"/>
      <c r="O1" s="90"/>
      <c r="P1" s="89"/>
    </row>
    <row r="2" spans="1:16" ht="15.75" customHeight="1">
      <c r="A2" s="30" t="s">
        <v>2</v>
      </c>
      <c r="B2" s="91"/>
      <c r="C2" s="31" t="s">
        <v>3</v>
      </c>
      <c r="D2" s="92"/>
      <c r="E2" s="31" t="s">
        <v>4</v>
      </c>
      <c r="F2" s="92"/>
      <c r="G2" s="31" t="s">
        <v>5</v>
      </c>
      <c r="H2" s="93"/>
      <c r="I2" s="92"/>
      <c r="J2" s="32" t="s">
        <v>6</v>
      </c>
      <c r="K2" s="93"/>
      <c r="L2" s="93"/>
      <c r="M2" s="92"/>
      <c r="N2" s="32" t="s">
        <v>7</v>
      </c>
      <c r="O2" s="92"/>
      <c r="P2" s="1" t="s">
        <v>8</v>
      </c>
    </row>
    <row r="3" spans="1:16" ht="15.75" customHeight="1">
      <c r="A3" s="94"/>
      <c r="B3" s="92"/>
      <c r="C3" s="33" t="s">
        <v>9</v>
      </c>
      <c r="D3" s="92"/>
      <c r="E3" s="33" t="s">
        <v>10</v>
      </c>
      <c r="F3" s="92"/>
      <c r="G3" s="33" t="s">
        <v>11</v>
      </c>
      <c r="H3" s="93"/>
      <c r="I3" s="92"/>
      <c r="J3" s="34" t="s">
        <v>12</v>
      </c>
      <c r="K3" s="92"/>
      <c r="L3" s="35" t="s">
        <v>13</v>
      </c>
      <c r="M3" s="92"/>
      <c r="N3" s="33" t="s">
        <v>14</v>
      </c>
      <c r="O3" s="92"/>
      <c r="P3" s="2" t="s">
        <v>15</v>
      </c>
    </row>
    <row r="4" spans="1:16" ht="15.75" customHeight="1">
      <c r="A4" s="30" t="s">
        <v>16</v>
      </c>
      <c r="B4" s="91"/>
      <c r="C4" s="36" t="s">
        <v>17</v>
      </c>
      <c r="D4" s="93"/>
      <c r="E4" s="93"/>
      <c r="F4" s="93"/>
      <c r="G4" s="93"/>
      <c r="H4" s="92"/>
      <c r="I4" s="37" t="s">
        <v>18</v>
      </c>
      <c r="J4" s="93"/>
      <c r="K4" s="93"/>
      <c r="L4" s="93"/>
      <c r="M4" s="92"/>
      <c r="N4" s="36" t="s">
        <v>19</v>
      </c>
      <c r="O4" s="93"/>
      <c r="P4" s="92"/>
    </row>
    <row r="5" spans="1:16" ht="45" customHeight="1">
      <c r="A5" s="94"/>
      <c r="B5" s="92"/>
      <c r="C5" s="38" t="s">
        <v>20</v>
      </c>
      <c r="D5" s="39"/>
      <c r="E5" s="39"/>
      <c r="F5" s="39"/>
      <c r="G5" s="39"/>
      <c r="H5" s="40"/>
      <c r="I5" s="33" t="s">
        <v>14</v>
      </c>
      <c r="J5" s="39"/>
      <c r="K5" s="39"/>
      <c r="L5" s="39"/>
      <c r="M5" s="40"/>
      <c r="N5" s="33" t="s">
        <v>14</v>
      </c>
      <c r="O5" s="39"/>
      <c r="P5" s="40"/>
    </row>
    <row r="6" spans="1:16" ht="39" customHeight="1">
      <c r="A6" s="48" t="s">
        <v>21</v>
      </c>
      <c r="B6" s="92"/>
      <c r="C6" s="49" t="s">
        <v>22</v>
      </c>
      <c r="D6" s="39"/>
      <c r="E6" s="39"/>
      <c r="F6" s="39"/>
      <c r="G6" s="39"/>
      <c r="H6" s="39"/>
      <c r="I6" s="39"/>
      <c r="J6" s="39"/>
      <c r="K6" s="39"/>
      <c r="L6" s="39"/>
      <c r="M6" s="39"/>
      <c r="N6" s="39"/>
      <c r="O6" s="39"/>
      <c r="P6" s="40"/>
    </row>
    <row r="7" spans="1:16" ht="15.75" customHeight="1">
      <c r="A7" s="50" t="s">
        <v>23</v>
      </c>
      <c r="B7" s="91"/>
      <c r="C7" s="41" t="s">
        <v>24</v>
      </c>
      <c r="D7" s="93"/>
      <c r="E7" s="93"/>
      <c r="F7" s="93"/>
      <c r="G7" s="93"/>
      <c r="H7" s="93"/>
      <c r="I7" s="93"/>
      <c r="J7" s="93"/>
      <c r="K7" s="93"/>
      <c r="L7" s="93"/>
      <c r="M7" s="93"/>
      <c r="N7" s="93"/>
      <c r="O7" s="93"/>
      <c r="P7" s="92"/>
    </row>
    <row r="8" spans="1:16" ht="15.75" customHeight="1">
      <c r="A8" s="95"/>
      <c r="B8" s="91"/>
      <c r="C8" s="47" t="s">
        <v>25</v>
      </c>
      <c r="D8" s="92"/>
      <c r="E8" s="51" t="s">
        <v>26</v>
      </c>
      <c r="F8" s="93"/>
      <c r="G8" s="93"/>
      <c r="H8" s="93"/>
      <c r="I8" s="93"/>
      <c r="J8" s="93"/>
      <c r="K8" s="93"/>
      <c r="L8" s="93"/>
      <c r="M8" s="93"/>
      <c r="N8" s="93"/>
      <c r="O8" s="93"/>
      <c r="P8" s="92"/>
    </row>
    <row r="9" spans="1:16" ht="15.75" customHeight="1">
      <c r="A9" s="95"/>
      <c r="B9" s="91"/>
      <c r="C9" s="96"/>
      <c r="D9" s="92"/>
      <c r="E9" s="96"/>
      <c r="F9" s="93"/>
      <c r="G9" s="93"/>
      <c r="H9" s="93"/>
      <c r="I9" s="93"/>
      <c r="J9" s="93"/>
      <c r="K9" s="93"/>
      <c r="L9" s="93"/>
      <c r="M9" s="93"/>
      <c r="N9" s="93"/>
      <c r="O9" s="93"/>
      <c r="P9" s="92"/>
    </row>
    <row r="10" spans="1:16" ht="15.75" customHeight="1">
      <c r="A10" s="95"/>
      <c r="B10" s="91"/>
      <c r="C10" s="96"/>
      <c r="D10" s="92"/>
      <c r="E10" s="96"/>
      <c r="F10" s="93"/>
      <c r="G10" s="93"/>
      <c r="H10" s="93"/>
      <c r="I10" s="93"/>
      <c r="J10" s="93"/>
      <c r="K10" s="93"/>
      <c r="L10" s="93"/>
      <c r="M10" s="93"/>
      <c r="N10" s="93"/>
      <c r="O10" s="93"/>
      <c r="P10" s="92"/>
    </row>
    <row r="11" spans="1:16" ht="15.75" customHeight="1">
      <c r="A11" s="95"/>
      <c r="B11" s="91"/>
      <c r="C11" s="41" t="s">
        <v>27</v>
      </c>
      <c r="D11" s="93"/>
      <c r="E11" s="93"/>
      <c r="F11" s="93"/>
      <c r="G11" s="93"/>
      <c r="H11" s="93"/>
      <c r="I11" s="93"/>
      <c r="J11" s="93"/>
      <c r="K11" s="93"/>
      <c r="L11" s="93"/>
      <c r="M11" s="93"/>
      <c r="N11" s="92"/>
      <c r="O11" s="41" t="s">
        <v>28</v>
      </c>
      <c r="P11" s="92"/>
    </row>
    <row r="12" spans="1:16" ht="29.25" customHeight="1">
      <c r="A12" s="95"/>
      <c r="B12" s="91"/>
      <c r="C12" s="42" t="s">
        <v>29</v>
      </c>
      <c r="D12" s="43"/>
      <c r="E12" s="44" t="s">
        <v>30</v>
      </c>
      <c r="F12" s="45"/>
      <c r="G12" s="45"/>
      <c r="H12" s="45"/>
      <c r="I12" s="45"/>
      <c r="J12" s="45"/>
      <c r="K12" s="45"/>
      <c r="L12" s="45"/>
      <c r="M12" s="45"/>
      <c r="N12" s="46"/>
      <c r="O12" s="47" t="s">
        <v>25</v>
      </c>
      <c r="P12" s="92"/>
    </row>
    <row r="13" spans="1:16" ht="32.25" customHeight="1">
      <c r="A13" s="95"/>
      <c r="B13" s="91"/>
      <c r="C13" s="52" t="s">
        <v>31</v>
      </c>
      <c r="D13" s="97"/>
      <c r="E13" s="54" t="s">
        <v>32</v>
      </c>
      <c r="F13" s="55"/>
      <c r="G13" s="55"/>
      <c r="H13" s="55"/>
      <c r="I13" s="55"/>
      <c r="J13" s="55"/>
      <c r="K13" s="55"/>
      <c r="L13" s="55"/>
      <c r="M13" s="55"/>
      <c r="N13" s="56"/>
      <c r="O13" s="47" t="s">
        <v>25</v>
      </c>
      <c r="P13" s="92"/>
    </row>
    <row r="14" spans="1:16" ht="33.75" customHeight="1">
      <c r="A14" s="95"/>
      <c r="B14" s="91"/>
      <c r="C14" s="52" t="s">
        <v>33</v>
      </c>
      <c r="D14" s="97"/>
      <c r="E14" s="54" t="s">
        <v>34</v>
      </c>
      <c r="F14" s="55"/>
      <c r="G14" s="55"/>
      <c r="H14" s="55"/>
      <c r="I14" s="55"/>
      <c r="J14" s="55"/>
      <c r="K14" s="55"/>
      <c r="L14" s="55"/>
      <c r="M14" s="55"/>
      <c r="N14" s="56"/>
      <c r="O14" s="47" t="s">
        <v>25</v>
      </c>
      <c r="P14" s="92"/>
    </row>
    <row r="15" spans="1:16" ht="15.75" customHeight="1">
      <c r="A15" s="95"/>
      <c r="B15" s="91"/>
      <c r="C15" s="52"/>
      <c r="D15" s="97"/>
      <c r="E15" s="96"/>
      <c r="F15" s="93"/>
      <c r="G15" s="93"/>
      <c r="H15" s="93"/>
      <c r="I15" s="93"/>
      <c r="J15" s="93"/>
      <c r="K15" s="93"/>
      <c r="L15" s="93"/>
      <c r="M15" s="93"/>
      <c r="N15" s="92"/>
      <c r="O15" s="47"/>
      <c r="P15" s="92"/>
    </row>
    <row r="16" spans="1:16" ht="15.75" customHeight="1">
      <c r="A16" s="95"/>
      <c r="B16" s="91"/>
      <c r="C16" s="52"/>
      <c r="D16" s="98"/>
      <c r="E16" s="53"/>
      <c r="F16" s="99"/>
      <c r="G16" s="99"/>
      <c r="H16" s="99"/>
      <c r="I16" s="99"/>
      <c r="J16" s="99"/>
      <c r="K16" s="99"/>
      <c r="L16" s="99"/>
      <c r="M16" s="99"/>
      <c r="N16" s="91"/>
      <c r="O16" s="53"/>
      <c r="P16" s="91"/>
    </row>
    <row r="17" spans="1:19" ht="27" customHeight="1">
      <c r="A17" s="57" t="s">
        <v>35</v>
      </c>
      <c r="B17" s="91"/>
      <c r="C17" s="58" t="s">
        <v>36</v>
      </c>
      <c r="D17" s="61" t="s">
        <v>37</v>
      </c>
      <c r="E17" s="61"/>
      <c r="F17" s="61"/>
      <c r="G17" s="61"/>
      <c r="H17" s="61"/>
      <c r="I17" s="61"/>
      <c r="J17" s="61"/>
      <c r="K17" s="61"/>
      <c r="L17" s="61"/>
      <c r="M17" s="61"/>
      <c r="N17" s="62" t="s">
        <v>38</v>
      </c>
      <c r="O17" s="62"/>
      <c r="P17" s="62"/>
    </row>
    <row r="18" spans="1:19" ht="16.5" customHeight="1">
      <c r="A18" s="57"/>
      <c r="B18" s="91"/>
      <c r="C18" s="59"/>
      <c r="D18" s="61" t="s">
        <v>39</v>
      </c>
      <c r="E18" s="61"/>
      <c r="F18" s="61"/>
      <c r="G18" s="61"/>
      <c r="H18" s="61" t="s">
        <v>40</v>
      </c>
      <c r="I18" s="61"/>
      <c r="J18" s="61"/>
      <c r="K18" s="61"/>
      <c r="L18" s="61" t="s">
        <v>41</v>
      </c>
      <c r="M18" s="61"/>
      <c r="N18" s="62"/>
      <c r="O18" s="62"/>
      <c r="P18" s="62"/>
    </row>
    <row r="19" spans="1:19" ht="48.75" customHeight="1">
      <c r="A19" s="95"/>
      <c r="B19" s="91"/>
      <c r="C19" s="60"/>
      <c r="D19" s="61" t="s">
        <v>42</v>
      </c>
      <c r="E19" s="61"/>
      <c r="F19" s="61" t="s">
        <v>43</v>
      </c>
      <c r="G19" s="61"/>
      <c r="H19" s="61" t="s">
        <v>44</v>
      </c>
      <c r="I19" s="61"/>
      <c r="J19" s="61"/>
      <c r="K19" s="61"/>
      <c r="L19" s="71" t="s">
        <v>45</v>
      </c>
      <c r="M19" s="72"/>
      <c r="N19" s="62"/>
      <c r="O19" s="62"/>
      <c r="P19" s="62"/>
    </row>
    <row r="20" spans="1:19" ht="15.75" customHeight="1">
      <c r="A20" s="95"/>
      <c r="B20" s="91"/>
      <c r="C20" s="17" t="s">
        <v>29</v>
      </c>
      <c r="D20" s="68"/>
      <c r="E20" s="100"/>
      <c r="F20" s="68"/>
      <c r="G20" s="100"/>
      <c r="H20" s="65"/>
      <c r="I20" s="65"/>
      <c r="J20" s="64"/>
      <c r="K20" s="100"/>
      <c r="L20" s="64">
        <v>10</v>
      </c>
      <c r="M20" s="64"/>
      <c r="N20" s="63">
        <f>SUM(D20:M20)</f>
        <v>10</v>
      </c>
      <c r="O20" s="63"/>
      <c r="P20" s="63"/>
      <c r="R20" s="3"/>
      <c r="S20" s="69"/>
    </row>
    <row r="21" spans="1:19" ht="15.75" customHeight="1">
      <c r="A21" s="95"/>
      <c r="B21" s="91"/>
      <c r="C21" s="17" t="s">
        <v>31</v>
      </c>
      <c r="D21" s="68">
        <v>25</v>
      </c>
      <c r="E21" s="100"/>
      <c r="F21" s="68">
        <v>10</v>
      </c>
      <c r="G21" s="100"/>
      <c r="H21" s="65"/>
      <c r="I21" s="65"/>
      <c r="J21" s="64"/>
      <c r="K21" s="100"/>
      <c r="L21" s="64"/>
      <c r="M21" s="64"/>
      <c r="N21" s="63">
        <f>SUM(D21:M21)</f>
        <v>35</v>
      </c>
      <c r="O21" s="63"/>
      <c r="P21" s="63"/>
      <c r="R21" s="3"/>
      <c r="S21" s="70"/>
    </row>
    <row r="22" spans="1:19" ht="15.75" customHeight="1">
      <c r="A22" s="95"/>
      <c r="B22" s="91"/>
      <c r="C22" s="17" t="s">
        <v>33</v>
      </c>
      <c r="D22" s="64"/>
      <c r="E22" s="100"/>
      <c r="F22" s="64"/>
      <c r="G22" s="100"/>
      <c r="H22" s="65">
        <v>55</v>
      </c>
      <c r="I22" s="65"/>
      <c r="J22" s="68"/>
      <c r="K22" s="100"/>
      <c r="L22" s="64"/>
      <c r="M22" s="64"/>
      <c r="N22" s="63">
        <f>SUM(D22:M22)</f>
        <v>55</v>
      </c>
      <c r="O22" s="63"/>
      <c r="P22" s="63"/>
      <c r="S22" s="3"/>
    </row>
    <row r="23" spans="1:19" ht="15.75" customHeight="1">
      <c r="A23" s="95"/>
      <c r="B23" s="91"/>
      <c r="C23" s="17"/>
      <c r="D23" s="64"/>
      <c r="E23" s="64"/>
      <c r="F23" s="64"/>
      <c r="G23" s="100"/>
      <c r="H23" s="65"/>
      <c r="I23" s="65"/>
      <c r="J23" s="66"/>
      <c r="K23" s="67"/>
      <c r="L23" s="64"/>
      <c r="M23" s="64"/>
      <c r="N23" s="63"/>
      <c r="O23" s="63"/>
      <c r="P23" s="63"/>
      <c r="S23" s="3"/>
    </row>
    <row r="24" spans="1:19" ht="15.75" customHeight="1">
      <c r="A24" s="95"/>
      <c r="B24" s="91"/>
      <c r="C24" s="17"/>
      <c r="D24" s="64"/>
      <c r="E24" s="64"/>
      <c r="F24" s="64"/>
      <c r="G24" s="64"/>
      <c r="H24" s="65"/>
      <c r="I24" s="65"/>
      <c r="J24" s="68"/>
      <c r="K24" s="68"/>
      <c r="L24" s="64"/>
      <c r="M24" s="64"/>
      <c r="N24" s="63"/>
      <c r="O24" s="63"/>
      <c r="P24" s="63"/>
      <c r="S24" s="3"/>
    </row>
    <row r="25" spans="1:19" ht="15.75" customHeight="1">
      <c r="A25" s="94"/>
      <c r="B25" s="92"/>
      <c r="C25" s="18" t="s">
        <v>46</v>
      </c>
      <c r="D25" s="73">
        <f>SUM(D20:E24)</f>
        <v>25</v>
      </c>
      <c r="E25" s="100"/>
      <c r="F25" s="73">
        <f>SUM(F20:G24)</f>
        <v>10</v>
      </c>
      <c r="G25" s="100"/>
      <c r="H25" s="73">
        <f>SUM(H20:I24)</f>
        <v>55</v>
      </c>
      <c r="I25" s="100"/>
      <c r="J25" s="73"/>
      <c r="K25" s="100"/>
      <c r="L25" s="73">
        <f>SUM(L20:M24)</f>
        <v>10</v>
      </c>
      <c r="M25" s="73"/>
      <c r="N25" s="73">
        <f>SUM(D25:L25)</f>
        <v>100</v>
      </c>
      <c r="O25" s="73"/>
      <c r="P25" s="73"/>
    </row>
    <row r="26" spans="1:19" ht="15.75" customHeight="1">
      <c r="A26" s="57" t="s">
        <v>47</v>
      </c>
      <c r="B26" s="91"/>
      <c r="C26" s="74" t="s">
        <v>48</v>
      </c>
      <c r="D26" s="93"/>
      <c r="E26" s="92"/>
      <c r="F26" s="101"/>
      <c r="G26" s="93"/>
      <c r="H26" s="93"/>
      <c r="I26" s="93"/>
      <c r="J26" s="93"/>
      <c r="K26" s="93"/>
      <c r="L26" s="93"/>
      <c r="M26" s="93"/>
      <c r="N26" s="93"/>
      <c r="O26" s="93"/>
      <c r="P26" s="92"/>
    </row>
    <row r="27" spans="1:19" ht="48" customHeight="1">
      <c r="A27" s="95"/>
      <c r="B27" s="91"/>
      <c r="C27" s="49" t="s">
        <v>49</v>
      </c>
      <c r="D27" s="39"/>
      <c r="E27" s="39"/>
      <c r="F27" s="39"/>
      <c r="G27" s="39"/>
      <c r="H27" s="39"/>
      <c r="I27" s="39"/>
      <c r="J27" s="39"/>
      <c r="K27" s="39"/>
      <c r="L27" s="39"/>
      <c r="M27" s="39"/>
      <c r="N27" s="39"/>
      <c r="O27" s="39"/>
      <c r="P27" s="40"/>
    </row>
    <row r="28" spans="1:19" ht="15.75" customHeight="1">
      <c r="A28" s="95"/>
      <c r="B28" s="91"/>
      <c r="C28" s="41" t="s">
        <v>50</v>
      </c>
      <c r="D28" s="93"/>
      <c r="E28" s="93"/>
      <c r="F28" s="101"/>
      <c r="G28" s="93"/>
      <c r="H28" s="93"/>
      <c r="I28" s="93"/>
      <c r="J28" s="93"/>
      <c r="K28" s="93"/>
      <c r="L28" s="93"/>
      <c r="M28" s="93"/>
      <c r="N28" s="93"/>
      <c r="O28" s="93"/>
      <c r="P28" s="92"/>
    </row>
    <row r="29" spans="1:19" ht="63.75" customHeight="1">
      <c r="A29" s="94"/>
      <c r="B29" s="92"/>
      <c r="C29" s="49" t="s">
        <v>51</v>
      </c>
      <c r="D29" s="39"/>
      <c r="E29" s="39"/>
      <c r="F29" s="39"/>
      <c r="G29" s="39"/>
      <c r="H29" s="39"/>
      <c r="I29" s="39"/>
      <c r="J29" s="39"/>
      <c r="K29" s="39"/>
      <c r="L29" s="39"/>
      <c r="M29" s="39"/>
      <c r="N29" s="39"/>
      <c r="O29" s="39"/>
      <c r="P29" s="40"/>
    </row>
    <row r="30" spans="1:19" ht="15.75" customHeight="1">
      <c r="A30" s="57" t="s">
        <v>52</v>
      </c>
      <c r="B30" s="91"/>
      <c r="C30" s="74" t="s">
        <v>53</v>
      </c>
      <c r="D30" s="93"/>
      <c r="E30" s="93"/>
      <c r="F30" s="93"/>
      <c r="G30" s="93"/>
      <c r="H30" s="93"/>
      <c r="I30" s="93"/>
      <c r="J30" s="92"/>
      <c r="K30" s="74" t="s">
        <v>54</v>
      </c>
      <c r="L30" s="93"/>
      <c r="M30" s="93"/>
      <c r="N30" s="93"/>
      <c r="O30" s="93"/>
      <c r="P30" s="92"/>
    </row>
    <row r="31" spans="1:19" ht="15.75" customHeight="1">
      <c r="A31" s="94"/>
      <c r="B31" s="92"/>
      <c r="C31" s="102" t="s">
        <v>55</v>
      </c>
      <c r="D31" s="93"/>
      <c r="E31" s="93"/>
      <c r="F31" s="93"/>
      <c r="G31" s="93"/>
      <c r="H31" s="93"/>
      <c r="I31" s="93"/>
      <c r="J31" s="92"/>
      <c r="K31" s="96" t="s">
        <v>56</v>
      </c>
      <c r="L31" s="93"/>
      <c r="M31" s="93"/>
      <c r="N31" s="93"/>
      <c r="O31" s="93"/>
      <c r="P31" s="92"/>
    </row>
    <row r="32" spans="1:19" ht="15.75" customHeight="1">
      <c r="A32" s="48" t="s">
        <v>57</v>
      </c>
      <c r="B32" s="92"/>
      <c r="C32" s="102" t="s">
        <v>58</v>
      </c>
      <c r="D32" s="93"/>
      <c r="E32" s="93"/>
      <c r="F32" s="93"/>
      <c r="G32" s="93"/>
      <c r="H32" s="93"/>
      <c r="I32" s="93"/>
      <c r="J32" s="93"/>
      <c r="K32" s="93"/>
      <c r="L32" s="93"/>
      <c r="M32" s="93"/>
      <c r="N32" s="93"/>
      <c r="O32" s="93"/>
      <c r="P32" s="92"/>
    </row>
    <row r="33" spans="1:18" ht="15.75" customHeight="1">
      <c r="A33" s="48" t="s">
        <v>59</v>
      </c>
      <c r="B33" s="92"/>
      <c r="C33" s="102" t="s">
        <v>60</v>
      </c>
      <c r="D33" s="93"/>
      <c r="E33" s="93"/>
      <c r="F33" s="93"/>
      <c r="G33" s="93"/>
      <c r="H33" s="93"/>
      <c r="I33" s="93"/>
      <c r="J33" s="93"/>
      <c r="K33" s="93"/>
      <c r="L33" s="93"/>
      <c r="M33" s="93"/>
      <c r="N33" s="93"/>
      <c r="O33" s="93"/>
      <c r="P33" s="92"/>
    </row>
    <row r="34" spans="1:18" ht="15.75" customHeight="1">
      <c r="A34" s="103" t="s">
        <v>61</v>
      </c>
      <c r="B34" s="89"/>
      <c r="C34" s="4">
        <v>50.01</v>
      </c>
      <c r="D34" s="104"/>
      <c r="E34" s="90"/>
      <c r="F34" s="90"/>
      <c r="G34" s="90"/>
      <c r="H34" s="90"/>
      <c r="I34" s="90"/>
      <c r="J34" s="90"/>
      <c r="K34" s="90"/>
      <c r="L34" s="90"/>
      <c r="M34" s="90"/>
      <c r="N34" s="90"/>
      <c r="O34" s="90"/>
      <c r="P34" s="89"/>
    </row>
    <row r="35" spans="1:18" ht="15.75" customHeight="1">
      <c r="A35" s="103" t="s">
        <v>62</v>
      </c>
      <c r="B35" s="89"/>
      <c r="C35" s="5">
        <v>0.85499999999999998</v>
      </c>
      <c r="D35" s="104"/>
      <c r="E35" s="90"/>
      <c r="F35" s="90"/>
      <c r="G35" s="90"/>
      <c r="H35" s="90"/>
      <c r="I35" s="90"/>
      <c r="J35" s="90"/>
      <c r="K35" s="90"/>
      <c r="L35" s="90"/>
      <c r="M35" s="90"/>
      <c r="N35" s="90"/>
      <c r="O35" s="90"/>
      <c r="P35" s="89"/>
    </row>
    <row r="36" spans="1:18" ht="15.75" customHeight="1"/>
    <row r="37" spans="1:18" ht="15.75" customHeight="1"/>
    <row r="38" spans="1:18" ht="15.75" customHeight="1"/>
    <row r="39" spans="1:18" ht="29.25" customHeight="1">
      <c r="A39" s="6" t="s">
        <v>63</v>
      </c>
      <c r="B39" s="7" t="s">
        <v>64</v>
      </c>
      <c r="C39" s="27" t="s">
        <v>65</v>
      </c>
      <c r="D39" s="90"/>
      <c r="E39" s="89"/>
      <c r="F39" s="27" t="s">
        <v>66</v>
      </c>
      <c r="G39" s="89"/>
      <c r="H39" s="27" t="s">
        <v>67</v>
      </c>
      <c r="I39" s="89"/>
      <c r="J39" s="7" t="s">
        <v>68</v>
      </c>
      <c r="K39" s="27" t="s">
        <v>69</v>
      </c>
      <c r="L39" s="89"/>
      <c r="M39" s="27" t="s">
        <v>70</v>
      </c>
      <c r="N39" s="89"/>
      <c r="O39" s="27" t="s">
        <v>71</v>
      </c>
      <c r="P39" s="89"/>
      <c r="Q39" s="27" t="s">
        <v>72</v>
      </c>
      <c r="R39" s="89"/>
    </row>
    <row r="40" spans="1:18" ht="219.95" customHeight="1">
      <c r="A40" s="8">
        <v>1</v>
      </c>
      <c r="B40" s="9" t="s">
        <v>29</v>
      </c>
      <c r="C40" s="75" t="s">
        <v>73</v>
      </c>
      <c r="D40" s="93"/>
      <c r="E40" s="92"/>
      <c r="F40" s="76" t="s">
        <v>74</v>
      </c>
      <c r="G40" s="40"/>
      <c r="H40" s="24" t="s">
        <v>45</v>
      </c>
      <c r="I40" s="77"/>
      <c r="J40" s="10" t="s">
        <v>75</v>
      </c>
      <c r="K40" s="78" t="s">
        <v>76</v>
      </c>
      <c r="L40" s="79"/>
      <c r="M40" s="24" t="s">
        <v>77</v>
      </c>
      <c r="N40" s="92"/>
      <c r="O40" s="23"/>
      <c r="P40" s="92"/>
      <c r="Q40" s="23" t="s">
        <v>78</v>
      </c>
      <c r="R40" s="92"/>
    </row>
    <row r="41" spans="1:18" ht="300" customHeight="1">
      <c r="A41" s="8">
        <v>2</v>
      </c>
      <c r="B41" s="9" t="s">
        <v>29</v>
      </c>
      <c r="C41" s="75" t="s">
        <v>79</v>
      </c>
      <c r="D41" s="93"/>
      <c r="E41" s="92"/>
      <c r="F41" s="76" t="s">
        <v>80</v>
      </c>
      <c r="G41" s="40"/>
      <c r="H41" s="24" t="s">
        <v>45</v>
      </c>
      <c r="I41" s="77"/>
      <c r="J41" s="11" t="s">
        <v>81</v>
      </c>
      <c r="K41" s="78" t="s">
        <v>82</v>
      </c>
      <c r="L41" s="79"/>
      <c r="M41" s="24" t="s">
        <v>77</v>
      </c>
      <c r="N41" s="92"/>
      <c r="O41" s="23"/>
      <c r="P41" s="92"/>
      <c r="Q41" s="23">
        <v>0.05</v>
      </c>
      <c r="R41" s="92"/>
    </row>
    <row r="42" spans="1:18" ht="249.95" customHeight="1">
      <c r="A42" s="8">
        <v>3</v>
      </c>
      <c r="B42" s="9" t="s">
        <v>31</v>
      </c>
      <c r="C42" s="75" t="s">
        <v>83</v>
      </c>
      <c r="D42" s="93"/>
      <c r="E42" s="92"/>
      <c r="F42" s="76" t="s">
        <v>84</v>
      </c>
      <c r="G42" s="40"/>
      <c r="H42" s="81" t="s">
        <v>85</v>
      </c>
      <c r="I42" s="79"/>
      <c r="J42" s="12" t="s">
        <v>86</v>
      </c>
      <c r="K42" s="78" t="s">
        <v>82</v>
      </c>
      <c r="L42" s="79"/>
      <c r="M42" s="24" t="s">
        <v>77</v>
      </c>
      <c r="N42" s="92"/>
      <c r="O42" s="23"/>
      <c r="P42" s="92"/>
      <c r="Q42" s="23" t="s">
        <v>87</v>
      </c>
      <c r="R42" s="92"/>
    </row>
    <row r="43" spans="1:18" ht="336.95" customHeight="1">
      <c r="A43" s="8">
        <v>4</v>
      </c>
      <c r="B43" s="9" t="s">
        <v>31</v>
      </c>
      <c r="C43" s="75" t="s">
        <v>88</v>
      </c>
      <c r="D43" s="93"/>
      <c r="E43" s="92"/>
      <c r="F43" s="76" t="s">
        <v>89</v>
      </c>
      <c r="G43" s="40"/>
      <c r="H43" s="80" t="s">
        <v>85</v>
      </c>
      <c r="I43" s="79"/>
      <c r="J43" s="19" t="s">
        <v>90</v>
      </c>
      <c r="K43" s="78" t="s">
        <v>76</v>
      </c>
      <c r="L43" s="79"/>
      <c r="M43" s="24" t="s">
        <v>77</v>
      </c>
      <c r="N43" s="92"/>
      <c r="O43" s="23"/>
      <c r="P43" s="92"/>
      <c r="Q43" s="23" t="s">
        <v>87</v>
      </c>
      <c r="R43" s="92"/>
    </row>
    <row r="44" spans="1:18" ht="291" customHeight="1">
      <c r="A44" s="8">
        <v>5</v>
      </c>
      <c r="B44" s="9" t="s">
        <v>31</v>
      </c>
      <c r="C44" s="75" t="s">
        <v>91</v>
      </c>
      <c r="D44" s="93"/>
      <c r="E44" s="92"/>
      <c r="F44" s="76" t="s">
        <v>92</v>
      </c>
      <c r="G44" s="40"/>
      <c r="H44" s="80" t="s">
        <v>85</v>
      </c>
      <c r="I44" s="79"/>
      <c r="J44" s="12" t="s">
        <v>93</v>
      </c>
      <c r="K44" s="78" t="s">
        <v>76</v>
      </c>
      <c r="L44" s="79"/>
      <c r="M44" s="24" t="s">
        <v>77</v>
      </c>
      <c r="N44" s="92"/>
      <c r="O44" s="23"/>
      <c r="P44" s="92"/>
      <c r="Q44" s="23" t="s">
        <v>87</v>
      </c>
      <c r="R44" s="92"/>
    </row>
    <row r="45" spans="1:18" ht="282.95" customHeight="1">
      <c r="A45" s="8">
        <v>6</v>
      </c>
      <c r="B45" s="9" t="s">
        <v>31</v>
      </c>
      <c r="C45" s="75" t="s">
        <v>94</v>
      </c>
      <c r="D45" s="39"/>
      <c r="E45" s="40"/>
      <c r="F45" s="76" t="s">
        <v>95</v>
      </c>
      <c r="G45" s="40"/>
      <c r="H45" s="80" t="s">
        <v>85</v>
      </c>
      <c r="I45" s="79"/>
      <c r="J45" s="20" t="s">
        <v>96</v>
      </c>
      <c r="K45" s="78" t="s">
        <v>76</v>
      </c>
      <c r="L45" s="79"/>
      <c r="M45" s="24" t="s">
        <v>77</v>
      </c>
      <c r="N45" s="92"/>
      <c r="O45" s="23"/>
      <c r="P45" s="92"/>
      <c r="Q45" s="23" t="s">
        <v>87</v>
      </c>
      <c r="R45" s="92"/>
    </row>
    <row r="46" spans="1:18" ht="153.94999999999999" customHeight="1">
      <c r="A46" s="8">
        <v>7</v>
      </c>
      <c r="B46" s="14" t="s">
        <v>31</v>
      </c>
      <c r="C46" s="82" t="s">
        <v>97</v>
      </c>
      <c r="D46" s="93"/>
      <c r="E46" s="92"/>
      <c r="F46" s="83" t="s">
        <v>98</v>
      </c>
      <c r="G46" s="92"/>
      <c r="H46" s="88" t="s">
        <v>99</v>
      </c>
      <c r="I46" s="79"/>
      <c r="J46" s="19" t="s">
        <v>100</v>
      </c>
      <c r="K46" s="78" t="s">
        <v>101</v>
      </c>
      <c r="L46" s="79"/>
      <c r="M46" s="24" t="s">
        <v>102</v>
      </c>
      <c r="N46" s="92"/>
      <c r="O46" s="26"/>
      <c r="P46" s="92"/>
      <c r="Q46" s="26" t="s">
        <v>103</v>
      </c>
      <c r="R46" s="92"/>
    </row>
    <row r="47" spans="1:18" ht="145.5" customHeight="1">
      <c r="A47" s="8">
        <v>8</v>
      </c>
      <c r="B47" s="14" t="s">
        <v>31</v>
      </c>
      <c r="C47" s="82" t="s">
        <v>97</v>
      </c>
      <c r="D47" s="93"/>
      <c r="E47" s="92"/>
      <c r="F47" s="83" t="s">
        <v>98</v>
      </c>
      <c r="G47" s="92"/>
      <c r="H47" s="84" t="s">
        <v>104</v>
      </c>
      <c r="I47" s="85"/>
      <c r="J47" s="13" t="s">
        <v>105</v>
      </c>
      <c r="K47" s="86" t="s">
        <v>106</v>
      </c>
      <c r="L47" s="87"/>
      <c r="M47" s="24" t="s">
        <v>102</v>
      </c>
      <c r="N47" s="92"/>
      <c r="O47" s="21"/>
      <c r="P47" s="22"/>
      <c r="Q47" s="21">
        <v>0.1</v>
      </c>
      <c r="R47" s="22"/>
    </row>
    <row r="48" spans="1:18" ht="145.5" customHeight="1">
      <c r="A48" s="8">
        <v>9</v>
      </c>
      <c r="B48" s="14" t="s">
        <v>31</v>
      </c>
      <c r="C48" s="82" t="s">
        <v>97</v>
      </c>
      <c r="D48" s="93"/>
      <c r="E48" s="92"/>
      <c r="F48" s="83" t="s">
        <v>98</v>
      </c>
      <c r="G48" s="92"/>
      <c r="H48" s="84" t="s">
        <v>104</v>
      </c>
      <c r="I48" s="85"/>
      <c r="J48" s="13" t="s">
        <v>105</v>
      </c>
      <c r="K48" s="86" t="s">
        <v>106</v>
      </c>
      <c r="L48" s="87"/>
      <c r="M48" s="24" t="s">
        <v>102</v>
      </c>
      <c r="N48" s="92"/>
      <c r="O48" s="21"/>
      <c r="P48" s="22"/>
      <c r="Q48" s="21">
        <v>0.1</v>
      </c>
      <c r="R48" s="22"/>
    </row>
    <row r="49" spans="1:18" ht="207" customHeight="1">
      <c r="A49" s="8">
        <v>10</v>
      </c>
      <c r="B49" s="14" t="s">
        <v>33</v>
      </c>
      <c r="C49" s="75" t="s">
        <v>107</v>
      </c>
      <c r="D49" s="93"/>
      <c r="E49" s="92"/>
      <c r="F49" s="83" t="s">
        <v>108</v>
      </c>
      <c r="G49" s="92"/>
      <c r="H49" s="80" t="s">
        <v>109</v>
      </c>
      <c r="I49" s="79"/>
      <c r="J49" s="19" t="s">
        <v>110</v>
      </c>
      <c r="K49" s="88" t="s">
        <v>111</v>
      </c>
      <c r="L49" s="79"/>
      <c r="M49" s="24" t="s">
        <v>77</v>
      </c>
      <c r="N49" s="92"/>
      <c r="O49" s="23"/>
      <c r="P49" s="92"/>
      <c r="Q49" s="23"/>
      <c r="R49" s="92"/>
    </row>
    <row r="50" spans="1:18" ht="205.5" customHeight="1">
      <c r="A50" s="8">
        <v>11</v>
      </c>
      <c r="B50" s="9" t="s">
        <v>33</v>
      </c>
      <c r="C50" s="75" t="s">
        <v>107</v>
      </c>
      <c r="D50" s="93"/>
      <c r="E50" s="92"/>
      <c r="F50" s="83" t="s">
        <v>108</v>
      </c>
      <c r="G50" s="92"/>
      <c r="H50" s="80" t="s">
        <v>109</v>
      </c>
      <c r="I50" s="79"/>
      <c r="J50" s="19" t="s">
        <v>112</v>
      </c>
      <c r="K50" s="88" t="s">
        <v>113</v>
      </c>
      <c r="L50" s="79"/>
      <c r="M50" s="23"/>
      <c r="N50" s="92"/>
      <c r="O50" s="24" t="s">
        <v>114</v>
      </c>
      <c r="P50" s="92"/>
      <c r="Q50" s="24"/>
      <c r="R50" s="92"/>
    </row>
    <row r="51" spans="1:18" ht="200.25" customHeight="1">
      <c r="A51" s="8">
        <v>12</v>
      </c>
      <c r="B51" s="9" t="s">
        <v>33</v>
      </c>
      <c r="C51" s="75" t="s">
        <v>107</v>
      </c>
      <c r="D51" s="93"/>
      <c r="E51" s="92"/>
      <c r="F51" s="83" t="s">
        <v>108</v>
      </c>
      <c r="G51" s="92"/>
      <c r="H51" s="80" t="s">
        <v>109</v>
      </c>
      <c r="I51" s="79"/>
      <c r="J51" s="19" t="s">
        <v>115</v>
      </c>
      <c r="K51" s="88" t="s">
        <v>116</v>
      </c>
      <c r="L51" s="79"/>
      <c r="M51" s="23"/>
      <c r="N51" s="92"/>
      <c r="O51" s="24" t="s">
        <v>114</v>
      </c>
      <c r="P51" s="92"/>
      <c r="Q51" s="24"/>
      <c r="R51" s="92"/>
    </row>
    <row r="52" spans="1:18" ht="195" customHeight="1">
      <c r="A52" s="8">
        <v>13</v>
      </c>
      <c r="B52" s="9" t="s">
        <v>33</v>
      </c>
      <c r="C52" s="75" t="s">
        <v>107</v>
      </c>
      <c r="D52" s="93"/>
      <c r="E52" s="92"/>
      <c r="F52" s="83" t="s">
        <v>108</v>
      </c>
      <c r="G52" s="92"/>
      <c r="H52" s="80" t="s">
        <v>109</v>
      </c>
      <c r="I52" s="79"/>
      <c r="J52" s="19" t="s">
        <v>117</v>
      </c>
      <c r="K52" s="78" t="s">
        <v>116</v>
      </c>
      <c r="L52" s="79"/>
      <c r="M52" s="23"/>
      <c r="N52" s="92"/>
      <c r="O52" s="24" t="s">
        <v>114</v>
      </c>
      <c r="P52" s="92"/>
      <c r="Q52" s="24"/>
      <c r="R52" s="92"/>
    </row>
    <row r="53" spans="1:18" ht="155.25" customHeight="1">
      <c r="A53" s="8">
        <v>14</v>
      </c>
      <c r="B53" s="9" t="s">
        <v>33</v>
      </c>
      <c r="C53" s="75" t="s">
        <v>107</v>
      </c>
      <c r="D53" s="93"/>
      <c r="E53" s="92"/>
      <c r="F53" s="83" t="s">
        <v>108</v>
      </c>
      <c r="G53" s="92"/>
      <c r="H53" s="80" t="s">
        <v>109</v>
      </c>
      <c r="I53" s="79"/>
      <c r="J53" s="13" t="s">
        <v>118</v>
      </c>
      <c r="K53" s="88" t="s">
        <v>119</v>
      </c>
      <c r="L53" s="79"/>
      <c r="M53" s="24" t="s">
        <v>77</v>
      </c>
      <c r="N53" s="92"/>
      <c r="O53" s="24"/>
      <c r="P53" s="92"/>
      <c r="Q53" s="25">
        <v>0.55000000000000004</v>
      </c>
      <c r="R53" s="92"/>
    </row>
    <row r="54" spans="1:18" ht="114" customHeight="1">
      <c r="A54" s="8">
        <v>15</v>
      </c>
      <c r="B54" s="9" t="s">
        <v>33</v>
      </c>
      <c r="C54" s="75" t="s">
        <v>107</v>
      </c>
      <c r="D54" s="93"/>
      <c r="E54" s="92"/>
      <c r="F54" s="83" t="s">
        <v>108</v>
      </c>
      <c r="G54" s="92"/>
      <c r="H54" s="80" t="s">
        <v>109</v>
      </c>
      <c r="I54" s="79"/>
      <c r="J54" s="13" t="s">
        <v>118</v>
      </c>
      <c r="K54" s="88" t="s">
        <v>119</v>
      </c>
      <c r="L54" s="79"/>
      <c r="M54" s="24"/>
      <c r="N54" s="92"/>
      <c r="O54" s="26" t="s">
        <v>114</v>
      </c>
      <c r="P54" s="92"/>
      <c r="Q54" s="26"/>
      <c r="R54" s="92"/>
    </row>
    <row r="55" spans="1:18" ht="117" customHeight="1">
      <c r="A55" s="8">
        <v>16</v>
      </c>
      <c r="B55" s="9" t="s">
        <v>33</v>
      </c>
      <c r="C55" s="75" t="s">
        <v>107</v>
      </c>
      <c r="D55" s="93"/>
      <c r="E55" s="92"/>
      <c r="F55" s="83" t="s">
        <v>108</v>
      </c>
      <c r="G55" s="92"/>
      <c r="H55" s="80" t="s">
        <v>109</v>
      </c>
      <c r="I55" s="79"/>
      <c r="J55" s="13" t="s">
        <v>118</v>
      </c>
      <c r="K55" s="88" t="s">
        <v>119</v>
      </c>
      <c r="L55" s="79"/>
      <c r="M55" s="24"/>
      <c r="N55" s="92"/>
      <c r="O55" s="26" t="s">
        <v>114</v>
      </c>
      <c r="P55" s="92"/>
      <c r="Q55" s="26"/>
      <c r="R55" s="92"/>
    </row>
    <row r="56" spans="1:18" ht="15.75" customHeight="1"/>
    <row r="57" spans="1:18" ht="15.75" customHeight="1">
      <c r="A57" s="15" t="s">
        <v>120</v>
      </c>
    </row>
    <row r="58" spans="1:18" ht="15.75" customHeight="1">
      <c r="A58" s="15" t="s">
        <v>121</v>
      </c>
    </row>
    <row r="59" spans="1:18" ht="15.75" customHeight="1">
      <c r="A59" s="15" t="s">
        <v>122</v>
      </c>
    </row>
    <row r="60" spans="1:18" ht="15.75" customHeight="1">
      <c r="A60" s="15" t="s">
        <v>123</v>
      </c>
    </row>
    <row r="61" spans="1:18" ht="15.75" customHeight="1">
      <c r="A61" s="15" t="s">
        <v>124</v>
      </c>
    </row>
    <row r="62" spans="1:18" ht="15.75" customHeight="1">
      <c r="A62" s="15" t="s">
        <v>125</v>
      </c>
    </row>
    <row r="63" spans="1:18" ht="15.75" customHeight="1">
      <c r="B63" s="15" t="s">
        <v>126</v>
      </c>
      <c r="D63" s="15" t="s">
        <v>127</v>
      </c>
      <c r="F63" s="15" t="s">
        <v>128</v>
      </c>
      <c r="H63" s="15" t="s">
        <v>129</v>
      </c>
    </row>
    <row r="64" spans="1:18" ht="15.75" customHeight="1">
      <c r="A64" s="15" t="s">
        <v>130</v>
      </c>
      <c r="B64" s="15">
        <v>30</v>
      </c>
      <c r="C64" s="16">
        <f>B64/50</f>
        <v>0.6</v>
      </c>
      <c r="D64" s="15">
        <v>5</v>
      </c>
      <c r="E64" s="16">
        <f>D64/50</f>
        <v>0.1</v>
      </c>
      <c r="F64" s="15">
        <v>15</v>
      </c>
      <c r="G64" s="16">
        <f>F64/50</f>
        <v>0.3</v>
      </c>
      <c r="H64" s="15" t="s">
        <v>131</v>
      </c>
      <c r="I64" s="15" t="s">
        <v>132</v>
      </c>
    </row>
    <row r="65" spans="3:4" ht="15.75" customHeight="1"/>
    <row r="66" spans="3:4" ht="15.75" customHeight="1"/>
    <row r="67" spans="3:4" ht="15.75" customHeight="1">
      <c r="C67">
        <f>0.25*16</f>
        <v>4</v>
      </c>
      <c r="D67">
        <f>0.4*16</f>
        <v>6.4</v>
      </c>
    </row>
    <row r="68" spans="3:4" ht="15.75" customHeight="1"/>
    <row r="69" spans="3:4" ht="15.75" customHeight="1"/>
    <row r="70" spans="3:4" ht="15.75" customHeight="1"/>
    <row r="71" spans="3:4" ht="15.75" customHeight="1"/>
    <row r="72" spans="3:4" ht="15.75" customHeight="1"/>
    <row r="73" spans="3:4" ht="15.75" customHeight="1"/>
    <row r="74" spans="3:4" ht="15.75" customHeight="1"/>
    <row r="75" spans="3:4" ht="15.75" customHeight="1"/>
    <row r="76" spans="3:4" ht="15.75" customHeight="1"/>
    <row r="77" spans="3:4" ht="15.75" customHeight="1"/>
    <row r="78" spans="3:4" ht="15.75" customHeight="1"/>
    <row r="79" spans="3:4" ht="15.75" customHeight="1"/>
    <row r="80" spans="3:4"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6">
    <mergeCell ref="C55:E55"/>
    <mergeCell ref="F55:G55"/>
    <mergeCell ref="H55:I55"/>
    <mergeCell ref="K55:L55"/>
    <mergeCell ref="M55:N55"/>
    <mergeCell ref="O55:P55"/>
    <mergeCell ref="C54:E54"/>
    <mergeCell ref="F54:G54"/>
    <mergeCell ref="H54:I54"/>
    <mergeCell ref="K54:L54"/>
    <mergeCell ref="M54:N54"/>
    <mergeCell ref="O54:P54"/>
    <mergeCell ref="C53:E53"/>
    <mergeCell ref="F53:G53"/>
    <mergeCell ref="H53:I53"/>
    <mergeCell ref="K53:L53"/>
    <mergeCell ref="M53:N53"/>
    <mergeCell ref="O53:P53"/>
    <mergeCell ref="C52:E52"/>
    <mergeCell ref="F52:G52"/>
    <mergeCell ref="H52:I52"/>
    <mergeCell ref="K52:L52"/>
    <mergeCell ref="M52:N52"/>
    <mergeCell ref="O52:P52"/>
    <mergeCell ref="C51:E51"/>
    <mergeCell ref="F51:G51"/>
    <mergeCell ref="H51:I51"/>
    <mergeCell ref="K51:L51"/>
    <mergeCell ref="M51:N51"/>
    <mergeCell ref="O51:P51"/>
    <mergeCell ref="C50:E50"/>
    <mergeCell ref="F50:G50"/>
    <mergeCell ref="H50:I50"/>
    <mergeCell ref="K50:L50"/>
    <mergeCell ref="M50:N50"/>
    <mergeCell ref="O50:P50"/>
    <mergeCell ref="C49:E49"/>
    <mergeCell ref="F49:G49"/>
    <mergeCell ref="H49:I49"/>
    <mergeCell ref="K49:L49"/>
    <mergeCell ref="M49:N49"/>
    <mergeCell ref="O49:P49"/>
    <mergeCell ref="C48:E48"/>
    <mergeCell ref="F48:G48"/>
    <mergeCell ref="H48:I48"/>
    <mergeCell ref="K48:L48"/>
    <mergeCell ref="M48:N48"/>
    <mergeCell ref="O48:P48"/>
    <mergeCell ref="C47:E47"/>
    <mergeCell ref="F47:G47"/>
    <mergeCell ref="H47:I47"/>
    <mergeCell ref="K47:L47"/>
    <mergeCell ref="M47:N47"/>
    <mergeCell ref="O47:P47"/>
    <mergeCell ref="C46:E46"/>
    <mergeCell ref="F46:G46"/>
    <mergeCell ref="H46:I46"/>
    <mergeCell ref="K46:L46"/>
    <mergeCell ref="M46:N46"/>
    <mergeCell ref="O46:P46"/>
    <mergeCell ref="C45:E45"/>
    <mergeCell ref="F45:G45"/>
    <mergeCell ref="H45:I45"/>
    <mergeCell ref="K45:L45"/>
    <mergeCell ref="M45:N45"/>
    <mergeCell ref="O45:P45"/>
    <mergeCell ref="C44:E44"/>
    <mergeCell ref="F44:G44"/>
    <mergeCell ref="H44:I44"/>
    <mergeCell ref="K44:L44"/>
    <mergeCell ref="M44:N44"/>
    <mergeCell ref="O44:P44"/>
    <mergeCell ref="C43:E43"/>
    <mergeCell ref="F43:G43"/>
    <mergeCell ref="H43:I43"/>
    <mergeCell ref="K43:L43"/>
    <mergeCell ref="M43:N43"/>
    <mergeCell ref="O43:P43"/>
    <mergeCell ref="C42:E42"/>
    <mergeCell ref="F42:G42"/>
    <mergeCell ref="H42:I42"/>
    <mergeCell ref="K42:L42"/>
    <mergeCell ref="M42:N42"/>
    <mergeCell ref="O42:P42"/>
    <mergeCell ref="C41:E41"/>
    <mergeCell ref="F41:G41"/>
    <mergeCell ref="H41:I41"/>
    <mergeCell ref="K41:L41"/>
    <mergeCell ref="M41:N41"/>
    <mergeCell ref="O41:P41"/>
    <mergeCell ref="C40:E40"/>
    <mergeCell ref="F40:G40"/>
    <mergeCell ref="H40:I40"/>
    <mergeCell ref="K40:L40"/>
    <mergeCell ref="M40:N40"/>
    <mergeCell ref="O40:P40"/>
    <mergeCell ref="C39:E39"/>
    <mergeCell ref="F39:G39"/>
    <mergeCell ref="H39:I39"/>
    <mergeCell ref="K39:L39"/>
    <mergeCell ref="M39:N39"/>
    <mergeCell ref="O39:P39"/>
    <mergeCell ref="A33:B33"/>
    <mergeCell ref="C33:P33"/>
    <mergeCell ref="A34:B34"/>
    <mergeCell ref="D34:P34"/>
    <mergeCell ref="A35:B35"/>
    <mergeCell ref="D35:P35"/>
    <mergeCell ref="A30:B31"/>
    <mergeCell ref="C30:J30"/>
    <mergeCell ref="K30:P30"/>
    <mergeCell ref="C31:J31"/>
    <mergeCell ref="K31:P31"/>
    <mergeCell ref="A32:B32"/>
    <mergeCell ref="C32:P32"/>
    <mergeCell ref="A26:B29"/>
    <mergeCell ref="C26:E26"/>
    <mergeCell ref="F26:P26"/>
    <mergeCell ref="C27:P27"/>
    <mergeCell ref="C28:E28"/>
    <mergeCell ref="F28:P28"/>
    <mergeCell ref="C29:P29"/>
    <mergeCell ref="D25:E25"/>
    <mergeCell ref="F25:G25"/>
    <mergeCell ref="H25:I25"/>
    <mergeCell ref="J25:K25"/>
    <mergeCell ref="L25:M25"/>
    <mergeCell ref="N25:P25"/>
    <mergeCell ref="D24:E24"/>
    <mergeCell ref="F24:G24"/>
    <mergeCell ref="H24:I24"/>
    <mergeCell ref="J24:K24"/>
    <mergeCell ref="L24:M24"/>
    <mergeCell ref="N24:P24"/>
    <mergeCell ref="S20:S21"/>
    <mergeCell ref="D21:E21"/>
    <mergeCell ref="F21:G21"/>
    <mergeCell ref="H21:I21"/>
    <mergeCell ref="J21:K21"/>
    <mergeCell ref="L21:M21"/>
    <mergeCell ref="N21:P21"/>
    <mergeCell ref="J19:K19"/>
    <mergeCell ref="D20:E20"/>
    <mergeCell ref="F20:G20"/>
    <mergeCell ref="H20:I20"/>
    <mergeCell ref="J20:K20"/>
    <mergeCell ref="L20:M20"/>
    <mergeCell ref="L19:M19"/>
    <mergeCell ref="O14:P14"/>
    <mergeCell ref="A17:B25"/>
    <mergeCell ref="C17:C19"/>
    <mergeCell ref="D17:M17"/>
    <mergeCell ref="N17:P19"/>
    <mergeCell ref="D18:G18"/>
    <mergeCell ref="H18:K18"/>
    <mergeCell ref="L18:M18"/>
    <mergeCell ref="D19:E19"/>
    <mergeCell ref="F19:G19"/>
    <mergeCell ref="H19:I19"/>
    <mergeCell ref="N20:P20"/>
    <mergeCell ref="D23:E23"/>
    <mergeCell ref="F23:G23"/>
    <mergeCell ref="H23:I23"/>
    <mergeCell ref="J23:K23"/>
    <mergeCell ref="L23:M23"/>
    <mergeCell ref="N23:P23"/>
    <mergeCell ref="D22:E22"/>
    <mergeCell ref="F22:G22"/>
    <mergeCell ref="H22:I22"/>
    <mergeCell ref="J22:K22"/>
    <mergeCell ref="L22:M22"/>
    <mergeCell ref="N22:P22"/>
    <mergeCell ref="C12:D12"/>
    <mergeCell ref="E12:N12"/>
    <mergeCell ref="O12:P12"/>
    <mergeCell ref="N5:P5"/>
    <mergeCell ref="A6:B6"/>
    <mergeCell ref="C6:P6"/>
    <mergeCell ref="A7:B16"/>
    <mergeCell ref="C7:P7"/>
    <mergeCell ref="C8:D8"/>
    <mergeCell ref="E8:P8"/>
    <mergeCell ref="C9:D9"/>
    <mergeCell ref="E9:P9"/>
    <mergeCell ref="C10:D10"/>
    <mergeCell ref="C15:D15"/>
    <mergeCell ref="E15:N15"/>
    <mergeCell ref="O15:P15"/>
    <mergeCell ref="C16:D16"/>
    <mergeCell ref="E16:N16"/>
    <mergeCell ref="O16:P16"/>
    <mergeCell ref="C13:D13"/>
    <mergeCell ref="E13:N13"/>
    <mergeCell ref="O13:P13"/>
    <mergeCell ref="C14:D14"/>
    <mergeCell ref="E14:N14"/>
    <mergeCell ref="A4:B5"/>
    <mergeCell ref="C4:H4"/>
    <mergeCell ref="I4:M4"/>
    <mergeCell ref="N4:P4"/>
    <mergeCell ref="C5:H5"/>
    <mergeCell ref="I5:M5"/>
    <mergeCell ref="E10:P10"/>
    <mergeCell ref="C11:N11"/>
    <mergeCell ref="O11:P11"/>
    <mergeCell ref="A1:B1"/>
    <mergeCell ref="C1:P1"/>
    <mergeCell ref="A2:B3"/>
    <mergeCell ref="C2:D2"/>
    <mergeCell ref="E2:F2"/>
    <mergeCell ref="G2:I2"/>
    <mergeCell ref="J2:M2"/>
    <mergeCell ref="N2:O2"/>
    <mergeCell ref="C3:D3"/>
    <mergeCell ref="E3:F3"/>
    <mergeCell ref="G3:I3"/>
    <mergeCell ref="J3:K3"/>
    <mergeCell ref="L3:M3"/>
    <mergeCell ref="N3:O3"/>
    <mergeCell ref="Q48:R48"/>
    <mergeCell ref="Q49:R49"/>
    <mergeCell ref="Q50:R50"/>
    <mergeCell ref="Q51:R51"/>
    <mergeCell ref="Q52:R52"/>
    <mergeCell ref="Q53:R53"/>
    <mergeCell ref="Q54:R54"/>
    <mergeCell ref="Q55:R55"/>
    <mergeCell ref="Q39:R39"/>
    <mergeCell ref="Q40:R40"/>
    <mergeCell ref="Q41:R41"/>
    <mergeCell ref="Q42:R42"/>
    <mergeCell ref="Q43:R43"/>
    <mergeCell ref="Q44:R44"/>
    <mergeCell ref="Q45:R45"/>
    <mergeCell ref="Q46:R46"/>
    <mergeCell ref="Q47:R47"/>
  </mergeCell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balqiszulfaa@supermail.id</dc:creator>
  <cp:keywords/>
  <dc:description/>
  <cp:lastModifiedBy>kampusmerdeka</cp:lastModifiedBy>
  <cp:revision/>
  <dcterms:created xsi:type="dcterms:W3CDTF">2022-09-06T00:43:04Z</dcterms:created>
  <dcterms:modified xsi:type="dcterms:W3CDTF">2024-06-25T10:47:13Z</dcterms:modified>
  <cp:category/>
  <cp:contentStatus/>
</cp:coreProperties>
</file>
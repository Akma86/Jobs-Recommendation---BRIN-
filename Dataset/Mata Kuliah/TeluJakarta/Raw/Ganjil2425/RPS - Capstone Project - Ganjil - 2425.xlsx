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06"/>
  <workbookPr/>
  <mc:AlternateContent xmlns:mc="http://schemas.openxmlformats.org/markup-compatibility/2006">
    <mc:Choice Requires="x15">
      <x15ac:absPath xmlns:x15ac="http://schemas.microsoft.com/office/spreadsheetml/2010/11/ac" url="https://telkomuniversityofficial-my.sharepoint.com/personal/dekisatria_telkomuniversity_ac_id/Documents/Kuliah/Capstone/"/>
    </mc:Choice>
  </mc:AlternateContent>
  <xr:revisionPtr revIDLastSave="1550" documentId="11_0B1D56BE9CDCCE836B02CE7A5FB0D4A9BBFD1C62" xr6:coauthVersionLast="47" xr6:coauthVersionMax="47" xr10:uidLastSave="{23E2DC54-1444-498D-809C-C7DCDAAC1BD7}"/>
  <bookViews>
    <workbookView xWindow="28680" yWindow="-120" windowWidth="29040" windowHeight="15720" xr2:uid="{00000000-000D-0000-FFFF-FFFF00000000}"/>
  </bookViews>
  <sheets>
    <sheet name="RPS Capstone Project" sheetId="12" r:id="rId1"/>
    <sheet name="CLO_rubrik Capstone FRI" sheetId="4" r:id="rId2"/>
    <sheet name="Bobot CLO dan Sub CLO" sheetId="11" r:id="rId3"/>
    <sheet name="Timeline Capstone" sheetId="8" r:id="rId4"/>
    <sheet name="Kuesioner CLO 05"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12" l="1"/>
  <c r="E45" i="12"/>
  <c r="P45" i="12"/>
  <c r="N45" i="12"/>
  <c r="I45" i="12"/>
  <c r="S44" i="12"/>
  <c r="S43" i="12"/>
  <c r="S42" i="12"/>
  <c r="S41" i="12"/>
  <c r="S40" i="12"/>
  <c r="S39" i="12"/>
  <c r="S38" i="12"/>
  <c r="S37" i="12"/>
  <c r="S45" i="12" s="1"/>
  <c r="E16" i="11"/>
  <c r="E14" i="11"/>
  <c r="E12" i="11"/>
  <c r="E11" i="11"/>
  <c r="E9" i="11"/>
  <c r="E7" i="11"/>
  <c r="E5" i="11"/>
  <c r="E2" i="11"/>
  <c r="E17" i="11" s="1"/>
  <c r="D1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tc={791F090A-BFB4-4E83-B353-B370ECF90855}</author>
    <author>tc={1542E595-7B94-4322-BA7E-FCECF1671F6D}</author>
    <author>tc={693B42D0-F88E-47FB-9B00-C56C5F2B262D}</author>
  </authors>
  <commentList>
    <comment ref="G11" authorId="0" shapeId="0" xr:uid="{791F090A-BFB4-4E83-B353-B370ECF90855}">
      <text>
        <t>[Threaded comment]
Your version of Excel allows you to read this threaded comment; however, any edits to it will get removed if the file is opened in a newer version of Excel. Learn more: https://go.microsoft.com/fwlink/?linkid=870924
Comment:
    bukti dari logbook pekerjaan</t>
      </text>
    </comment>
    <comment ref="H11" authorId="1" shapeId="0" xr:uid="{1542E595-7B94-4322-BA7E-FCECF1671F6D}">
      <text>
        <t>[Threaded comment]
Your version of Excel allows you to read this threaded comment; however, any edits to it will get removed if the file is opened in a newer version of Excel. Learn more: https://go.microsoft.com/fwlink/?linkid=870924
Comment:
    dibuktikan dengan log pekerjaan</t>
      </text>
    </comment>
    <comment ref="C15" authorId="2" shapeId="0" xr:uid="{693B42D0-F88E-47FB-9B00-C56C5F2B262D}">
      <text>
        <t xml:space="preserve">[Threaded comment]
Your version of Excel allows you to read this threaded comment; however, any edits to it will get removed if the file is opened in a newer version of Excel. Learn more: https://go.microsoft.com/fwlink/?linkid=870924
Comment:
    sarat pendaftaran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<sst xmlns="http://schemas.openxmlformats.org/spreadsheetml/2006/main" count="434" uniqueCount="335">
  <si>
    <t>RENCANA PEMBELAJARAN SEMESTER (RPS)</t>
  </si>
  <si>
    <t>PROGRAM STUDI S1 SISTEM INFORMASI</t>
  </si>
  <si>
    <t>FAKULTAS REKAYASA INDUSTRI</t>
  </si>
  <si>
    <t>Identitas Mata Kuliah</t>
  </si>
  <si>
    <t>Nama MK</t>
  </si>
  <si>
    <t>Kode MK</t>
  </si>
  <si>
    <t>Rumpun MK</t>
  </si>
  <si>
    <t>Mitra Pengembang RPS</t>
  </si>
  <si>
    <t>Bobot (SKS)</t>
  </si>
  <si>
    <t>Semester</t>
  </si>
  <si>
    <t>Direvisi</t>
  </si>
  <si>
    <t>Capstone Project</t>
  </si>
  <si>
    <t>BZK4AAC4</t>
  </si>
  <si>
    <t>Integrated System</t>
  </si>
  <si>
    <t>-</t>
  </si>
  <si>
    <t>4 SKS</t>
  </si>
  <si>
    <t xml:space="preserve">7 (Ganjil)
</t>
  </si>
  <si>
    <t>Otoritas</t>
  </si>
  <si>
    <t>Pengembang RPS</t>
  </si>
  <si>
    <t>Ketua Kelompok Keahlian</t>
  </si>
  <si>
    <t>Ketua Program Studi</t>
  </si>
  <si>
    <t xml:space="preserve">
Dr. Tien Fabrianti Kusumasari, S.T., M.T.</t>
  </si>
  <si>
    <t xml:space="preserve">
Dr. Sinung Suakanto, ST, M.T.</t>
  </si>
  <si>
    <t xml:space="preserve">
Taufik Nur Adi, S.Kom., M.T., Ph.D.</t>
  </si>
  <si>
    <t>Deskripsi Mata Kuliah</t>
  </si>
  <si>
    <t>Capstone Design &amp; Project adalah mata kuliah multidisiplin yang mengintegrasikan pengetahuan dan keterampilan mahasiswa dari berbagai program studi untuk menyelesaikan permasalahan industri melalui solusi inovatif dan berkelanjutan, serta mempersiapkan mereka menghadapi tantangan di dunia profesional.</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</si>
  <si>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</si>
  <si>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</si>
  <si>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</si>
  <si>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</si>
  <si>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</si>
  <si>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</si>
  <si>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PLO03</t>
  </si>
  <si>
    <t>Mampu untuk bekerja secara kolaboratif, proaktif, dan bertanggungjawab dalam tim untuk mencapai tujuan bersama dalam berbagai kontek profesional</t>
  </si>
  <si>
    <t>PLO05</t>
  </si>
  <si>
    <t>Mampu berkomunikasi secara efektif baik lisan maupun tulisan dalam berbagai konteks profesional</t>
  </si>
  <si>
    <t>PLO07</t>
  </si>
  <si>
    <t>Mampu menunjukkan kinerja mandiri, bermutu, dan terukur, serta inisiatif dalam pengembangan diri sebagai profesional di bidang sistem informasi.</t>
  </si>
  <si>
    <t>PLO08</t>
  </si>
  <si>
    <t>Mampu menggunakan teknik, keahlian, atau kakas terkini yang diperlukan untuk menghasilkan solusi di bidang sistem informasi, baik dalam konteks praktikum ataupun kasus nyata</t>
  </si>
  <si>
    <t>Course Learning Outcomes (CLO)</t>
  </si>
  <si>
    <t>PLO yang didukung</t>
  </si>
  <si>
    <t>PLO01-CLO10</t>
  </si>
  <si>
    <t>CLO1 - Mampu mengidentifikasikan permasalahan kompleks yang memiliki open ended solutions</t>
  </si>
  <si>
    <t>PLO02-CLO05</t>
  </si>
  <si>
    <t>CLO2 - Mampu merancang sistem berdasarkan body of knowledge keilmuan dan standar keteknikan serta regulasi yang relevan untuk memenuhi kebutuhan yang diharapkan didalam batasan-batasan realistis</t>
  </si>
  <si>
    <t>PLO02-CLO07</t>
  </si>
  <si>
    <t>CLO3 - Mampu memverifikasi dan memvalidasi hasil rancangan sistem</t>
  </si>
  <si>
    <t>PLO08-CLO08</t>
  </si>
  <si>
    <t>CLO4 - Mampu memanfaatkan teknologi informasi dalam penyelesaian masalah</t>
  </si>
  <si>
    <t>PLO03-CLO04</t>
  </si>
  <si>
    <t>CLO5 - Mampu melaksanakan kerja tim</t>
  </si>
  <si>
    <t>PLO05-CLO05</t>
  </si>
  <si>
    <t>CLO6 - Mampu melakukan komunikasi baik secara lisan maupun tertulis</t>
  </si>
  <si>
    <t>PLO07-CLO04</t>
  </si>
  <si>
    <t>CLO7 - Mampu merencanakan, menyelesaikan dan mengevaluasi tugas didalam batasan-batasan yang ada</t>
  </si>
  <si>
    <t>PLO08-CLO07</t>
  </si>
  <si>
    <t>CLO8 - Mampu mengenali kebutuhan teori / informasi / model / kerangka standar / metode / perangkat untuk menyelesaikan permasalahan kompleks pada sistem nyata secara mandiri​</t>
  </si>
  <si>
    <t>Penilaian</t>
  </si>
  <si>
    <t>Id CLO</t>
  </si>
  <si>
    <t>Bobot per Bentuk Penilaian (%)</t>
  </si>
  <si>
    <t>TOTAL BOBOT PER CLO</t>
  </si>
  <si>
    <t>Aktivitas Partisipatif</t>
  </si>
  <si>
    <t>Hasil Proyek</t>
  </si>
  <si>
    <t>Proposal</t>
  </si>
  <si>
    <t>Laporan Progress</t>
  </si>
  <si>
    <t>Peer Review</t>
  </si>
  <si>
    <t>Laporan Akhir</t>
  </si>
  <si>
    <t>Presentasi Akhir</t>
  </si>
  <si>
    <t>Total per penilaian</t>
  </si>
  <si>
    <t>Pustaka</t>
  </si>
  <si>
    <t>Utama:</t>
  </si>
  <si>
    <t>1. Project Management Institute. (2021). A Guide to the Project Management Body of Knowledge (7th ed). PMI</t>
  </si>
  <si>
    <t>2. The Design Thinking Playbook: Mindful Digital Transformation of Teams, Products, Services, Businesses and Ecosystems, Michael Lewrick 2017</t>
  </si>
  <si>
    <t>Pustaka Pendukung:</t>
  </si>
  <si>
    <t>Schwalbe, Kathy. (2019). Information Technology Project Management (9th ed). Cengage Learning, Inc</t>
  </si>
  <si>
    <t>Media Pembelajaran</t>
  </si>
  <si>
    <t xml:space="preserve"> Software :</t>
  </si>
  <si>
    <t>Hardware :</t>
  </si>
  <si>
    <t>1. Bitbucket / Github / Gitlab
2. Slack
3. Slack</t>
  </si>
  <si>
    <t>Laptop, LCD Projector</t>
  </si>
  <si>
    <t>Team Teaching</t>
  </si>
  <si>
    <t>Dr. Tien Fabrianti Kusumasari, S.T., M.T., Iqbal Yulizar Mukti, S.Si., M.T., Ph.D., Syfa Nur Lathifah, S.Kom., M.T.</t>
  </si>
  <si>
    <t>Matakuliah Syarat</t>
  </si>
  <si>
    <t>Design Thinking (BBK1FAB3), Manajemen Proyek Sistem Informasi (BBK2JAB3), Analisis dan Perancangan Sistem Informasi (BBK2AAB3)</t>
  </si>
  <si>
    <t>Ambang Batas Kelulusan Mahasiswa</t>
  </si>
  <si>
    <t>Ambang Batas Kelulusan MK</t>
  </si>
  <si>
    <t>MINGGU KE-</t>
  </si>
  <si>
    <t>ID CLO</t>
  </si>
  <si>
    <t>DESKRIPSI SUB CLO</t>
  </si>
  <si>
    <t>INDIKATOR KETERCAPAIAN CLO</t>
  </si>
  <si>
    <t>BENTUK ASSESSMENT</t>
  </si>
  <si>
    <t>MATERI</t>
  </si>
  <si>
    <t>METODE PEMBELAJARAN</t>
  </si>
  <si>
    <t>LUAR JARINGAN (TATAP MUKA)</t>
  </si>
  <si>
    <t>DALAM JARINGAN (DARING)</t>
  </si>
  <si>
    <t>BOBOT Sub CLO</t>
  </si>
  <si>
    <t xml:space="preserve">PLO01-CLO10	</t>
  </si>
  <si>
    <t>CLO1.1 Mampu mengumpulkan data dan informasi yang relevan untuk mengidentifikasi permasalahan.</t>
  </si>
  <si>
    <t>1. Mahasiswa mampu mengidentifikasi sumber data yang relevan dengan topik yang dipilih.
2. Mahasiswa mampu menyusun metode pengumpulan data yang sistematis (observasi, wawancara, kuesioner, studi literatur).</t>
  </si>
  <si>
    <t>Presentasi</t>
  </si>
  <si>
    <t>Identifikasi masalah dan analisis kebutuhan industri.</t>
  </si>
  <si>
    <t>Presentasi, diskusi kelompok, konsultasi dengan dosen pembimbing.</t>
  </si>
  <si>
    <t>4x50'</t>
  </si>
  <si>
    <t>CLO1.2 Mampu menganalisis dan memformulasikan permasalahan utama yang dihadapi.</t>
  </si>
  <si>
    <t>1. Mahasiswa mampu menganalisis data yang telah dikumpulkan untuk mengidentifikasi pola, tren, dan penyebab permasalahan.
2. Mahasiswa mampu menyusun peta masalah atau diagram sebab-akibat untuk memvisualisasikan permasalahan utama.
3. Mahasiswa mampu merumuskan pernyataan masalah yang jelas, spesifik, dan berbasis data.</t>
  </si>
  <si>
    <t xml:space="preserve">PLO02-CLO05	</t>
  </si>
  <si>
    <t>CLO 2.1 Mampu mengidentifikasi alternatif solusi berdasarkan analisis permasalahan.</t>
  </si>
  <si>
    <t>1. Mahasiswa mampu mengidentifikasi berbagai alternatif solusi yang potensial berdasarkan hasil analisis permasalahan.
2. Mahasiswa mampu memilih solusi yang paling sesuai dan menyusun rencana implementasi yang jelas dan terstruktur.</t>
  </si>
  <si>
    <t>Diskusi kelompok</t>
  </si>
  <si>
    <t>Body of Knowledge (BOK)</t>
  </si>
  <si>
    <t>PLO02-CLO05	, PLO08-CLO07</t>
  </si>
  <si>
    <t>CLO 2.2 Mampu menyusun proposal proyek yang komprehensif dan terstruktur.</t>
  </si>
  <si>
    <t>Mahasiswa dapat menyusun dan mengajukan proposal proyek yang mencakup tujuan, metodologi, dan hasil yang diharapkan.</t>
  </si>
  <si>
    <t>Review proposal, penilaian DE.</t>
  </si>
  <si>
    <t>Penyusunan proposal, pemilihan metodologi perancangan.</t>
  </si>
  <si>
    <t>Review proposal, konsultasi dengan dosen pembimbing</t>
  </si>
  <si>
    <t>CLO 2.3 Mampu merancang solusi sistem berdasarkan body of knowledge keilmuan dan standar keteknikan.</t>
  </si>
  <si>
    <t>Mahasiswa mampu menyusun rancangan solusi yang memenuhi kebutuhan dan standar industri.</t>
  </si>
  <si>
    <t>Laporan perancangan sistem.</t>
  </si>
  <si>
    <t>Teknik perancangan sistem, penerapan standar industri.</t>
  </si>
  <si>
    <t>Diskusi kelompok, konsultasi.</t>
  </si>
  <si>
    <t>CLO 2.4 Mampu mengimplementasikan rancangan sistem sesuai dengan perencanaan yang telah disusun.</t>
  </si>
  <si>
    <t>Mahasiswa menunjukkan kemajuan implementasi solusi yang sesuai dengan rancangan.</t>
  </si>
  <si>
    <t>Progress report (upload di LMS).</t>
  </si>
  <si>
    <t>Implementasi solusi dan teknologi informasi dalam proyek.</t>
  </si>
  <si>
    <t>Diskusi kelompok, kerja tim, konsultasi dengan dosen pembimbing.</t>
  </si>
  <si>
    <t xml:space="preserve">PLO02-CLO07	, PLO07-CLO04	</t>
  </si>
  <si>
    <t>CLO 3.1 Mampu memverifikasi dan memvalidasi hasil rancangan sistem sesuai standar yang berlaku.</t>
  </si>
  <si>
    <t>Mahasiswa mampu memverifikasi dan memvalidasi rancangan dengan metode yang sesuai dan standar yang berlaku.</t>
  </si>
  <si>
    <t>Laporan verifikasi dan validasi.</t>
  </si>
  <si>
    <t>Teknik verifikasi dan validasi sistem.</t>
  </si>
  <si>
    <t>Diskusi, kerja kelompok, konsultasi.</t>
  </si>
  <si>
    <t xml:space="preserve">PLO08-CLO08	</t>
  </si>
  <si>
    <t>CLO 4.1 Mampu memanfaatkan teknologi informasi dalam menyelesaikan permasalahan yang dihadapi.</t>
  </si>
  <si>
    <t>Mahasiswa mampu mengembangkan prototype menggunakan teknologi informasi yang relevan.</t>
  </si>
  <si>
    <t>Pengembangan prototype.</t>
  </si>
  <si>
    <t>Teknologi informasi dan pengembangan prototype.</t>
  </si>
  <si>
    <t xml:space="preserve">PLO03-CLO04	</t>
  </si>
  <si>
    <t>CLO 5.1 Mampu bekerja sama secara efektif dalam tim multidisiplin.</t>
  </si>
  <si>
    <t>Mahasiswa mampu bekerja sama dalam tim multidisiplin dan memberikan kontribusi yang signifikan.</t>
  </si>
  <si>
    <t>Peer review, laporan progress, evaluasi kerja tim.</t>
  </si>
  <si>
    <t>Kolaborasi tim dalam proyek multidisiplin.</t>
  </si>
  <si>
    <t>Diskusi, kerja tim, evaluasi kelompok.</t>
  </si>
  <si>
    <t xml:space="preserve">PLO05-CLO05	</t>
  </si>
  <si>
    <t>CLO 6.1 Mampu melakukan komunikasi hasil rancangan secara efektif baik secara lisan maupun tertulis.</t>
  </si>
  <si>
    <t>Mahasiswa mampu menyusun laporan akhir yang komprehensif dan melakukan presentasi yang efektif.</t>
  </si>
  <si>
    <t>Presentasi, laporan akhir (upload di LMS).</t>
  </si>
  <si>
    <t>Teknik presentasi dan penyusunan laporan akhir.</t>
  </si>
  <si>
    <t>Diskusi, latihan presentasi, review laporan.</t>
  </si>
  <si>
    <t>CLO 6.2 Mampu berkomunikasi secara efektif dalam mempresentasikan hasil proyek kepada khalayak yang lebih luas.</t>
  </si>
  <si>
    <t>Mahasiswa mampu memamerkan prototype produk dan mempresentasikannya kepada audiens.</t>
  </si>
  <si>
    <t>Pameran produk, penilaian komunikasi.</t>
  </si>
  <si>
    <t>Pameran proyek dan komunikasi hasil proyek.</t>
  </si>
  <si>
    <t>Pameran, presentasi, evaluasi audiens.</t>
  </si>
  <si>
    <t>CLO</t>
  </si>
  <si>
    <t>Deskripsi CLO</t>
  </si>
  <si>
    <t>Assessment Tool</t>
  </si>
  <si>
    <t>Kriteria</t>
  </si>
  <si>
    <t>Rubrik</t>
  </si>
  <si>
    <t>CLO1</t>
  </si>
  <si>
    <r>
      <rPr>
        <sz val="11"/>
        <color rgb="FF000000"/>
        <rFont val="Aptos Narrow"/>
        <scheme val="minor"/>
      </rPr>
      <t xml:space="preserve">Mampu mengidentifikasikan permasalahan kompleks yang memiliki </t>
    </r>
    <r>
      <rPr>
        <i/>
        <sz val="11"/>
        <color rgb="FF4EA72E"/>
        <rFont val="Aptos Narrow"/>
        <scheme val="minor"/>
      </rPr>
      <t>open ended solutions</t>
    </r>
  </si>
  <si>
    <t>Proposal  (minggu ke-4)</t>
  </si>
  <si>
    <t>complex engineering problem / complex computing problem</t>
  </si>
  <si>
    <r>
      <rPr>
        <sz val="11"/>
        <color rgb="FF000000"/>
        <rFont val="Aptos Narrow"/>
        <scheme val="minor"/>
      </rPr>
      <t xml:space="preserve">Mahasiswa </t>
    </r>
    <r>
      <rPr>
        <b/>
        <sz val="11"/>
        <color rgb="FF000000"/>
        <rFont val="Aptos Narrow"/>
        <scheme val="minor"/>
      </rPr>
      <t xml:space="preserve">mampu mengidentifkasi gejala dari permasalahan </t>
    </r>
    <r>
      <rPr>
        <sz val="11"/>
        <color rgb="FF000000"/>
        <rFont val="Aptos Narrow"/>
        <scheme val="minor"/>
      </rPr>
      <t xml:space="preserve">namun </t>
    </r>
    <r>
      <rPr>
        <b/>
        <sz val="11"/>
        <color rgb="FFFF0000"/>
        <rFont val="Aptos Narrow"/>
        <scheme val="minor"/>
      </rPr>
      <t xml:space="preserve">belum </t>
    </r>
    <r>
      <rPr>
        <b/>
        <sz val="11"/>
        <color rgb="FF0070C0"/>
        <rFont val="Aptos Narrow"/>
        <scheme val="minor"/>
      </rPr>
      <t xml:space="preserve">dapat mengidentifikasi secara akurat </t>
    </r>
    <r>
      <rPr>
        <b/>
        <sz val="11"/>
        <color rgb="FFFF0000"/>
        <rFont val="Aptos Narrow"/>
        <scheme val="minor"/>
      </rPr>
      <t>para pihak yang terlibat</t>
    </r>
  </si>
  <si>
    <r>
      <rPr>
        <sz val="11"/>
        <color rgb="FF000000"/>
        <rFont val="Aptos Narrow"/>
        <scheme val="minor"/>
      </rPr>
      <t xml:space="preserve">Mahasiswa </t>
    </r>
    <r>
      <rPr>
        <b/>
        <sz val="11"/>
        <color rgb="FF000000"/>
        <rFont val="Aptos Narrow"/>
        <scheme val="minor"/>
      </rPr>
      <t>mampu mengidentifkasi gejala dari permasalahan</t>
    </r>
    <r>
      <rPr>
        <sz val="11"/>
        <color rgb="FF000000"/>
        <rFont val="Aptos Narrow"/>
        <scheme val="minor"/>
      </rPr>
      <t xml:space="preserve"> dan </t>
    </r>
    <r>
      <rPr>
        <b/>
        <sz val="11"/>
        <color rgb="FF00B050"/>
        <rFont val="Aptos Narrow"/>
        <scheme val="minor"/>
      </rPr>
      <t>dapat</t>
    </r>
    <r>
      <rPr>
        <sz val="11"/>
        <color rgb="FF00B050"/>
        <rFont val="Aptos Narrow"/>
        <scheme val="minor"/>
      </rPr>
      <t xml:space="preserve"> </t>
    </r>
    <r>
      <rPr>
        <b/>
        <sz val="11"/>
        <color rgb="FF0070C0"/>
        <rFont val="Aptos Narrow"/>
        <scheme val="minor"/>
      </rPr>
      <t xml:space="preserve">mengidentifikasi secara akurat para </t>
    </r>
    <r>
      <rPr>
        <b/>
        <sz val="11"/>
        <color rgb="FFFF0000"/>
        <rFont val="Aptos Narrow"/>
        <scheme val="minor"/>
      </rPr>
      <t>pihak yang terlibat</t>
    </r>
  </si>
  <si>
    <r>
      <rPr>
        <sz val="11"/>
        <color rgb="FF000000"/>
        <rFont val="Aptos Narrow"/>
        <scheme val="minor"/>
      </rPr>
      <t xml:space="preserve">Mampu </t>
    </r>
    <r>
      <rPr>
        <b/>
        <sz val="11"/>
        <color rgb="FF000000"/>
        <rFont val="Aptos Narrow"/>
        <scheme val="minor"/>
      </rPr>
      <t>mengidentifkasi akar dari permasalahan</t>
    </r>
    <r>
      <rPr>
        <sz val="11"/>
        <color rgb="FF000000"/>
        <rFont val="Aptos Narrow"/>
        <scheme val="minor"/>
      </rPr>
      <t xml:space="preserve"> dan </t>
    </r>
    <r>
      <rPr>
        <b/>
        <sz val="11"/>
        <color rgb="FF0070C0"/>
        <rFont val="Aptos Narrow"/>
        <scheme val="minor"/>
      </rPr>
      <t xml:space="preserve">para pihak yang terlibat </t>
    </r>
    <r>
      <rPr>
        <sz val="11"/>
        <color rgb="FF000000"/>
        <rFont val="Aptos Narrow"/>
        <scheme val="minor"/>
      </rPr>
      <t xml:space="preserve">namun </t>
    </r>
    <r>
      <rPr>
        <b/>
        <sz val="11"/>
        <color rgb="FFFF0000"/>
        <rFont val="Aptos Narrow"/>
        <scheme val="minor"/>
      </rPr>
      <t>tidak mempertimbangkan interaksi kepentingan para pihak</t>
    </r>
    <r>
      <rPr>
        <sz val="11"/>
        <color rgb="FF000000"/>
        <rFont val="Aptos Narrow"/>
        <scheme val="minor"/>
      </rPr>
      <t xml:space="preserve"> </t>
    </r>
  </si>
  <si>
    <r>
      <rPr>
        <sz val="11"/>
        <color rgb="FF000000"/>
        <rFont val="Aptos Narrow"/>
        <scheme val="minor"/>
      </rPr>
      <t xml:space="preserve">Mahasiswa mampu dengan </t>
    </r>
    <r>
      <rPr>
        <b/>
        <sz val="11"/>
        <color rgb="FF000000"/>
        <rFont val="Aptos Narrow"/>
        <scheme val="minor"/>
      </rPr>
      <t>akurat</t>
    </r>
    <r>
      <rPr>
        <sz val="11"/>
        <color rgb="FF000000"/>
        <rFont val="Aptos Narrow"/>
        <scheme val="minor"/>
      </rPr>
      <t xml:space="preserve"> mengidentifikasi </t>
    </r>
    <r>
      <rPr>
        <b/>
        <sz val="11"/>
        <color rgb="FF000000"/>
        <rFont val="Aptos Narrow"/>
        <scheme val="minor"/>
      </rPr>
      <t xml:space="preserve">akar dari permasalahan </t>
    </r>
    <r>
      <rPr>
        <sz val="11"/>
        <color rgb="FF000000"/>
        <rFont val="Aptos Narrow"/>
        <scheme val="minor"/>
      </rPr>
      <t xml:space="preserve">yang melibatkan </t>
    </r>
    <r>
      <rPr>
        <b/>
        <sz val="11"/>
        <color rgb="FF0070C0"/>
        <rFont val="Aptos Narrow"/>
        <scheme val="minor"/>
      </rPr>
      <t xml:space="preserve">lebih dari satu pihak </t>
    </r>
    <r>
      <rPr>
        <sz val="11"/>
        <color rgb="FF000000"/>
        <rFont val="Aptos Narrow"/>
        <scheme val="minor"/>
      </rPr>
      <t xml:space="preserve">dengan mempertimbangkan </t>
    </r>
    <r>
      <rPr>
        <b/>
        <sz val="11"/>
        <color rgb="FF00B050"/>
        <rFont val="Aptos Narrow"/>
        <scheme val="minor"/>
      </rPr>
      <t>interaksi kepentingan para pihak yang relevan yang memberikan dampak perbaikan paling signifikan</t>
    </r>
    <r>
      <rPr>
        <sz val="11"/>
        <color rgb="FF000000"/>
        <rFont val="Aptos Narrow"/>
        <scheme val="minor"/>
      </rPr>
      <t xml:space="preserve">, namun </t>
    </r>
    <r>
      <rPr>
        <b/>
        <sz val="11"/>
        <color rgb="FFA02B93"/>
        <rFont val="Aptos Narrow"/>
        <scheme val="minor"/>
      </rPr>
      <t>kurang didukung justifikasi empiris yang sesuai.</t>
    </r>
  </si>
  <si>
    <r>
      <rPr>
        <sz val="11"/>
        <color rgb="FF000000"/>
        <rFont val="Aptos Narrow"/>
        <scheme val="minor"/>
      </rPr>
      <t xml:space="preserve">Mahasiswa mampu dengan </t>
    </r>
    <r>
      <rPr>
        <b/>
        <sz val="11"/>
        <color rgb="FF000000"/>
        <rFont val="Aptos Narrow"/>
        <scheme val="minor"/>
      </rPr>
      <t>akurat</t>
    </r>
    <r>
      <rPr>
        <sz val="11"/>
        <color rgb="FF000000"/>
        <rFont val="Aptos Narrow"/>
        <scheme val="minor"/>
      </rPr>
      <t xml:space="preserve"> mengidentifikasi </t>
    </r>
    <r>
      <rPr>
        <b/>
        <sz val="11"/>
        <color rgb="FF000000"/>
        <rFont val="Aptos Narrow"/>
        <scheme val="minor"/>
      </rPr>
      <t xml:space="preserve">akar masalah </t>
    </r>
    <r>
      <rPr>
        <sz val="11"/>
        <color rgb="FF000000"/>
        <rFont val="Aptos Narrow"/>
        <scheme val="minor"/>
      </rPr>
      <t xml:space="preserve">yang melibatkan </t>
    </r>
    <r>
      <rPr>
        <b/>
        <sz val="11"/>
        <color rgb="FF0070C0"/>
        <rFont val="Aptos Narrow"/>
        <scheme val="minor"/>
      </rPr>
      <t xml:space="preserve">lebih dari satu pihak </t>
    </r>
    <r>
      <rPr>
        <sz val="11"/>
        <color rgb="FF000000"/>
        <rFont val="Aptos Narrow"/>
        <scheme val="minor"/>
      </rPr>
      <t xml:space="preserve">dengan mempertimbangkan </t>
    </r>
    <r>
      <rPr>
        <b/>
        <sz val="11"/>
        <color rgb="FF00B050"/>
        <rFont val="Aptos Narrow"/>
        <scheme val="minor"/>
      </rPr>
      <t>interaksi kepentingan para pihak yang relevan yang memberikan dampak perbaikan paling signifikan</t>
    </r>
    <r>
      <rPr>
        <sz val="11"/>
        <color rgb="FF000000"/>
        <rFont val="Aptos Narrow"/>
        <scheme val="minor"/>
      </rPr>
      <t xml:space="preserve">, dan </t>
    </r>
    <r>
      <rPr>
        <b/>
        <sz val="11"/>
        <color rgb="FFA02B93"/>
        <rFont val="Aptos Narrow"/>
        <scheme val="minor"/>
      </rPr>
      <t>didukung justifikasi empiris yang sesuai</t>
    </r>
    <r>
      <rPr>
        <sz val="11"/>
        <color rgb="FFA02B93"/>
        <rFont val="Aptos Narrow"/>
        <scheme val="minor"/>
      </rPr>
      <t>.</t>
    </r>
  </si>
  <si>
    <t>Laporan akhir (minggu ke-15)</t>
  </si>
  <si>
    <t>Mahasiswa mampu mengindentifikasi lebih dari satu alternatif solusi dari permasalahan kompleks namun tidak memiliki justifikasi empiris dan dukungan literatur</t>
  </si>
  <si>
    <t>Mahasiswa mampu mengindentifikasi lebih dari satu alternatif solusi dari permasalahan kompleks dengan justifikasi empiris namun kurang relevan dan tidak didukung oleh literatur</t>
  </si>
  <si>
    <t>Mahasiswa mampu mengindentifikasi lebih dari satu alternatif solusi dari permasalahan kompleks dengan justifikasi empiris yang relevan namun tidak didukung oleh literatur</t>
  </si>
  <si>
    <t>Mahasiswa mampu mengindentifikasi lebih dari satu alternatif solusi dari permasalahan kompleks justifikasi empiris  yang relevan namun dukungan literatur kurang valid</t>
  </si>
  <si>
    <t>Mahasiswa mampu mengindentifikasi lebih dari satu alternatif solusi dari permasalahan kompleks dengan justifikasi empiris  yang relevan dan didukung oleh literatur yang valid</t>
  </si>
  <si>
    <t>CLO2</t>
  </si>
  <si>
    <t>Mampu merancang sistem berdasarkan body of knowledge keilmuan dan standar keteknikan serta regulasi yang relevan untuk memenuhi kebutuhan yang diharapkan didalam batasan-batasan realistis</t>
  </si>
  <si>
    <t>Laporan progress (minggu ke-11)</t>
  </si>
  <si>
    <r>
      <rPr>
        <sz val="11"/>
        <color rgb="FF000000"/>
        <rFont val="Calibri"/>
      </rPr>
      <t xml:space="preserve">Mampu merancang solusi  dengan melibatkan hanya </t>
    </r>
    <r>
      <rPr>
        <b/>
        <sz val="11"/>
        <color rgb="FF000000"/>
        <rFont val="Calibri"/>
      </rPr>
      <t xml:space="preserve">satu body of knowledge </t>
    </r>
    <r>
      <rPr>
        <sz val="11"/>
        <color rgb="FF000000"/>
        <rFont val="Calibri"/>
      </rPr>
      <t xml:space="preserve">pada suatu bidang keilmuan, namun </t>
    </r>
    <r>
      <rPr>
        <b/>
        <sz val="11"/>
        <color rgb="FF0070C0"/>
        <rFont val="Calibri"/>
      </rPr>
      <t xml:space="preserve">belum mampu menyelesaikan  permasalahan sepenuhnya </t>
    </r>
    <r>
      <rPr>
        <sz val="11"/>
        <color rgb="FF000000"/>
        <rFont val="Calibri"/>
      </rPr>
      <t xml:space="preserve">dan </t>
    </r>
    <r>
      <rPr>
        <b/>
        <sz val="11"/>
        <color rgb="FFFF0000"/>
        <rFont val="Calibri"/>
      </rPr>
      <t xml:space="preserve">tidak mempertimbangkan standar keteknikan atau regulasi </t>
    </r>
    <r>
      <rPr>
        <sz val="11"/>
        <color rgb="FF000000"/>
        <rFont val="Calibri"/>
      </rPr>
      <t>yang relevan</t>
    </r>
  </si>
  <si>
    <r>
      <rPr>
        <sz val="11"/>
        <color rgb="FF000000"/>
        <rFont val="Calibri"/>
      </rPr>
      <t xml:space="preserve">Mampu merancang solusi  dengan melibatkan </t>
    </r>
    <r>
      <rPr>
        <b/>
        <sz val="11"/>
        <color rgb="FF000000"/>
        <rFont val="Calibri"/>
      </rPr>
      <t xml:space="preserve">paling banyak dua body of knowledge </t>
    </r>
    <r>
      <rPr>
        <sz val="11"/>
        <color rgb="FF000000"/>
        <rFont val="Calibri"/>
      </rPr>
      <t xml:space="preserve">pada suatu bidang keilmuan, namun </t>
    </r>
    <r>
      <rPr>
        <b/>
        <sz val="11"/>
        <color rgb="FF0070C0"/>
        <rFont val="Calibri"/>
      </rPr>
      <t xml:space="preserve">belum mampu menyelesaikan  permasalahan sepenuhnya </t>
    </r>
    <r>
      <rPr>
        <sz val="11"/>
        <color rgb="FF000000"/>
        <rFont val="Calibri"/>
      </rPr>
      <t xml:space="preserve">dan </t>
    </r>
    <r>
      <rPr>
        <b/>
        <sz val="11"/>
        <color rgb="FFFF0000"/>
        <rFont val="Calibri"/>
      </rPr>
      <t xml:space="preserve">tidak mempertimbangkan standar keteknikan atau regulasi </t>
    </r>
    <r>
      <rPr>
        <sz val="11"/>
        <color rgb="FF000000"/>
        <rFont val="Calibri"/>
      </rPr>
      <t>yang relevan</t>
    </r>
  </si>
  <si>
    <r>
      <rPr>
        <sz val="11"/>
        <color rgb="FF000000"/>
        <rFont val="Calibri"/>
      </rPr>
      <t xml:space="preserve">Mampu merancang solusi yang relevan untuk menyelesaikan masalah dengan melibatkan </t>
    </r>
    <r>
      <rPr>
        <b/>
        <sz val="11"/>
        <color rgb="FF000000"/>
        <rFont val="Calibri"/>
      </rPr>
      <t xml:space="preserve">lebih dari dua body of knowledge </t>
    </r>
    <r>
      <rPr>
        <sz val="11"/>
        <color rgb="FF000000"/>
        <rFont val="Calibri"/>
      </rPr>
      <t xml:space="preserve">pada suatu bidang keilmuan, namun </t>
    </r>
    <r>
      <rPr>
        <b/>
        <sz val="11"/>
        <color rgb="FFFF0000"/>
        <rFont val="Calibri"/>
      </rPr>
      <t xml:space="preserve">tidak mempertimbangkan  standar keteknikan yang bersesuaian ataupun regulasi </t>
    </r>
    <r>
      <rPr>
        <sz val="11"/>
        <color rgb="FF000000"/>
        <rFont val="Calibri"/>
      </rPr>
      <t>yang relevan</t>
    </r>
  </si>
  <si>
    <r>
      <rPr>
        <sz val="11"/>
        <color rgb="FF000000"/>
        <rFont val="Calibri"/>
      </rPr>
      <t xml:space="preserve">Mampu merancang solusi yang relevan untuk menyelesaikan masalah dengan melibatkan </t>
    </r>
    <r>
      <rPr>
        <b/>
        <sz val="11"/>
        <color rgb="FF000000"/>
        <rFont val="Calibri"/>
      </rPr>
      <t xml:space="preserve">lebih dari dua body of knowledge </t>
    </r>
    <r>
      <rPr>
        <sz val="11"/>
        <color rgb="FF000000"/>
        <rFont val="Calibri"/>
      </rPr>
      <t xml:space="preserve">pada suatu bidang keilmuan dengan </t>
    </r>
    <r>
      <rPr>
        <b/>
        <sz val="11"/>
        <color rgb="FF0070C0"/>
        <rFont val="Calibri"/>
      </rPr>
      <t xml:space="preserve">standar keteknikan yang bersesuaian </t>
    </r>
    <r>
      <rPr>
        <b/>
        <sz val="11"/>
        <color rgb="FFFF0000"/>
        <rFont val="Calibri"/>
      </rPr>
      <t xml:space="preserve">atau </t>
    </r>
    <r>
      <rPr>
        <sz val="11"/>
        <color rgb="FF000000"/>
        <rFont val="Calibri"/>
      </rPr>
      <t xml:space="preserve">mempertimbangkan </t>
    </r>
    <r>
      <rPr>
        <b/>
        <sz val="11"/>
        <color rgb="FF0070C0"/>
        <rFont val="Calibri"/>
      </rPr>
      <t xml:space="preserve">regulasi </t>
    </r>
    <r>
      <rPr>
        <sz val="11"/>
        <color rgb="FF000000"/>
        <rFont val="Calibri"/>
      </rPr>
      <t>yang relevan</t>
    </r>
  </si>
  <si>
    <r>
      <rPr>
        <sz val="11"/>
        <color rgb="FF000000"/>
        <rFont val="Calibri"/>
      </rPr>
      <t xml:space="preserve">Mampu merancang solusi yang relevan untuk menyelesaikan masalah dengan melibatkan </t>
    </r>
    <r>
      <rPr>
        <b/>
        <sz val="11"/>
        <color rgb="FF000000"/>
        <rFont val="Calibri"/>
      </rPr>
      <t xml:space="preserve">lebih dari dua body of knowledge </t>
    </r>
    <r>
      <rPr>
        <sz val="11"/>
        <color rgb="FF000000"/>
        <rFont val="Calibri"/>
      </rPr>
      <t xml:space="preserve">pada suatu bidang keilmuan dengan </t>
    </r>
    <r>
      <rPr>
        <b/>
        <sz val="11"/>
        <color rgb="FF0070C0"/>
        <rFont val="Calibri"/>
      </rPr>
      <t xml:space="preserve">standar keteknikan yang bersesuaian </t>
    </r>
    <r>
      <rPr>
        <b/>
        <sz val="11"/>
        <color rgb="FFFF0000"/>
        <rFont val="Calibri"/>
      </rPr>
      <t xml:space="preserve">dan </t>
    </r>
    <r>
      <rPr>
        <sz val="11"/>
        <color rgb="FF000000"/>
        <rFont val="Calibri"/>
      </rPr>
      <t xml:space="preserve">mempertimbangkan </t>
    </r>
    <r>
      <rPr>
        <b/>
        <sz val="11"/>
        <color rgb="FF0070C0"/>
        <rFont val="Calibri"/>
      </rPr>
      <t xml:space="preserve">regulasi </t>
    </r>
    <r>
      <rPr>
        <sz val="11"/>
        <color rgb="FF000000"/>
        <rFont val="Calibri"/>
      </rPr>
      <t>yang relevan</t>
    </r>
  </si>
  <si>
    <t>CLO3</t>
  </si>
  <si>
    <t>Mampu memverifikasi dan memvalidasi hasil rancangan sistem</t>
  </si>
  <si>
    <t>verifikasi dan validasi hasil rancangan sistem</t>
  </si>
  <si>
    <t>tidak ada validasi dan verifikasi</t>
  </si>
  <si>
    <t>mahasiswa mampu melakukan verifikasi dan validasi terhadap hasil rancangan/prototipe sistem yang diusulkan</t>
  </si>
  <si>
    <t>Memenuhi rubrik pada butir [1] dan terdapat penjelasan terkait langkah-langkah dalam melakukan verifikasi</t>
  </si>
  <si>
    <t>Memenuhi rubrik pada butir [2] dan Hasil rancangan sesuai dengan sebagian spesifikasi yang telah ditetapkan</t>
  </si>
  <si>
    <t>Memenuhi rubrik pada butir [2] dan Hasil rancangan sesuai dengan seluruh spesifikasi yang telah ditetapkan</t>
  </si>
  <si>
    <t xml:space="preserve">Memenuhi rubrik pada butir [2] dan Hasil rancangan sesuai dengan seluruh spesifikasi yang telah ditetapkan, serta menjelaskan berdasarkan literatur dan/atau data hasil yang serupa </t>
  </si>
  <si>
    <t>Laporam akhir (minggu ke-15)</t>
  </si>
  <si>
    <t>CLO4</t>
  </si>
  <si>
    <t>Mampu memanfaatkan teknologi informasi dalam penyelesaian masalah</t>
  </si>
  <si>
    <t>pemanfaatan teknologi informasi pada solusi yang diusulkan</t>
  </si>
  <si>
    <t>tidak ada keterlibatan teknologi dalam usulan solusi permasalahan</t>
  </si>
  <si>
    <t>terdapat pemanfaatan teknologi dalam solusi yang diusulkan namun penjelasan tidak relefan</t>
  </si>
  <si>
    <t>terdapat pemanfaatan teknologi dalam solusi yang diusulkan, diberikan penjelasan namun terdapat lebih dari 50% penjelasan yang kurang relevan dengan solusi yang diusulkan</t>
  </si>
  <si>
    <t>terdapat pemanfaatan teknologi informasi dalam solusi permaslaahan yang diusulkan, dijelaskan secara tepat dan relefan 100% dengan solusi yang diusulkan</t>
  </si>
  <si>
    <t>terdapat pemanfaatan teknologi informasi dalam solusi permaslaahan yang diusulkan, dijelaskan secara tepat dan relefan 100% serta didukung dengan data dan literatur</t>
  </si>
  <si>
    <t>terdapat pemanfaatan teknologi informasi dalam solusi permaslaahan yang diusulkan, dijelaskan secara tepat dan relevan 100%,  didukung dengan data dan literatur , diberikan analisis berkatian dengan pemanfaatan teknologi</t>
  </si>
  <si>
    <t>CLO5</t>
  </si>
  <si>
    <t>Mampu melaksanakan kerja tim</t>
  </si>
  <si>
    <t>Peer Review Mahasiswa</t>
  </si>
  <si>
    <t>Kerjasama dan Pembagian Pekerjaan dalam Tim</t>
  </si>
  <si>
    <t>Tidak ada Kerjasama tim dalam pelaksanaan pekerjaan</t>
  </si>
  <si>
    <t>Pekerjaan dilaksanakan dalam tim, namun masih ada anggota tim yang tidak memberikan kontribusi</t>
  </si>
  <si>
    <r>
      <rPr>
        <sz val="11"/>
        <color rgb="FF000000"/>
        <rFont val="Aptos Narrow"/>
        <scheme val="minor"/>
      </rPr>
      <t xml:space="preserve">Pekerjaan dilakukan dalam tim, dimana semua </t>
    </r>
    <r>
      <rPr>
        <b/>
        <sz val="11"/>
        <color rgb="FF145F82"/>
        <rFont val="Aptos Narrow"/>
        <scheme val="minor"/>
      </rPr>
      <t xml:space="preserve">anggota memiliki tugas dan tanggung jawab masing-masing </t>
    </r>
    <r>
      <rPr>
        <sz val="11"/>
        <color rgb="FF000000"/>
        <rFont val="Aptos Narrow"/>
        <scheme val="minor"/>
      </rPr>
      <t xml:space="preserve">yang diperlihatkan dalam </t>
    </r>
    <r>
      <rPr>
        <b/>
        <sz val="11"/>
        <color rgb="FF0C769E"/>
        <rFont val="Aptos Narrow"/>
        <scheme val="minor"/>
      </rPr>
      <t>pembagian pekerjaan dalam laporan</t>
    </r>
  </si>
  <si>
    <r>
      <rPr>
        <sz val="11"/>
        <color rgb="FF000000"/>
        <rFont val="Aptos Narrow"/>
        <scheme val="minor"/>
      </rPr>
      <t xml:space="preserve">Pekerjaan dilakukan dalam tim, semua anggota memiliki </t>
    </r>
    <r>
      <rPr>
        <b/>
        <sz val="11"/>
        <color rgb="FF145F82"/>
        <rFont val="Aptos Narrow"/>
        <scheme val="minor"/>
      </rPr>
      <t>tugas dan tanggung jawab masing-masing</t>
    </r>
    <r>
      <rPr>
        <sz val="11"/>
        <color rgb="FF000000"/>
        <rFont val="Aptos Narrow"/>
        <scheme val="minor"/>
      </rPr>
      <t xml:space="preserve"> dan ada </t>
    </r>
    <r>
      <rPr>
        <b/>
        <sz val="11"/>
        <color rgb="FF145F82"/>
        <rFont val="Aptos Narrow"/>
        <scheme val="minor"/>
      </rPr>
      <t>pelaporan</t>
    </r>
    <r>
      <rPr>
        <sz val="11"/>
        <color rgb="FF000000"/>
        <rFont val="Aptos Narrow"/>
        <scheme val="minor"/>
      </rPr>
      <t xml:space="preserve"> terkait progress pekerjaan ke ketua tim. yang dibuktikan dengan </t>
    </r>
    <r>
      <rPr>
        <b/>
        <sz val="11"/>
        <color rgb="FF0C769E"/>
        <rFont val="Aptos Narrow"/>
        <scheme val="minor"/>
      </rPr>
      <t>log pekerjaan</t>
    </r>
    <r>
      <rPr>
        <sz val="11"/>
        <color rgb="FF000000"/>
        <rFont val="Aptos Narrow"/>
        <scheme val="minor"/>
      </rPr>
      <t xml:space="preserve"> yang</t>
    </r>
    <r>
      <rPr>
        <b/>
        <sz val="11"/>
        <color rgb="FF0C769E"/>
        <rFont val="Aptos Narrow"/>
        <scheme val="minor"/>
      </rPr>
      <t xml:space="preserve"> dicek oleh ketua.</t>
    </r>
  </si>
  <si>
    <r>
      <rPr>
        <sz val="11"/>
        <color rgb="FF000000"/>
        <rFont val="Aptos Narrow"/>
        <scheme val="minor"/>
      </rPr>
      <t xml:space="preserve">Mahasiswa mampu </t>
    </r>
    <r>
      <rPr>
        <b/>
        <sz val="11"/>
        <color rgb="FF145F82"/>
        <rFont val="Aptos Narrow"/>
        <scheme val="minor"/>
      </rPr>
      <t>menggunakan peralatan pendukung untuk manajemen pekerjaan tim secara manual</t>
    </r>
    <r>
      <rPr>
        <sz val="11"/>
        <color rgb="FF000000"/>
        <rFont val="Aptos Narrow"/>
        <scheme val="minor"/>
      </rPr>
      <t xml:space="preserve"> seperti Kanban Board atau Microsoft Project</t>
    </r>
  </si>
  <si>
    <r>
      <rPr>
        <sz val="11"/>
        <color rgb="FF000000"/>
        <rFont val="Aptos Narrow"/>
        <scheme val="minor"/>
      </rPr>
      <t xml:space="preserve">Mahasiswa sudah melaksanakan kolaborasi pekerjaan </t>
    </r>
    <r>
      <rPr>
        <b/>
        <sz val="11"/>
        <color rgb="FF145F82"/>
        <rFont val="Aptos Narrow"/>
        <scheme val="minor"/>
      </rPr>
      <t>menggunakan peralatan pendukung Kolaborasi Tim</t>
    </r>
    <r>
      <rPr>
        <sz val="11"/>
        <color rgb="FF000000"/>
        <rFont val="Aptos Narrow"/>
        <scheme val="minor"/>
      </rPr>
      <t xml:space="preserve"> seperti Jira, Google Colab, atau alat kolaborasi lainnya.</t>
    </r>
  </si>
  <si>
    <t>contoh kuesioner: https://docs.google.com/forms/d/1fntZxdYQPOwjSsyI-LMkpuLGIRpeO_VrH4-HavZ2Sgo/edit</t>
  </si>
  <si>
    <t>CLO6</t>
  </si>
  <si>
    <t>Mampu melakukan komunikasi baik secara lisan maupun tertulis</t>
  </si>
  <si>
    <t>Presentasi (Minggu 15)</t>
  </si>
  <si>
    <t>Ketepatan Penulisan Laporan berdasarkan Panduan</t>
  </si>
  <si>
    <t>Tidak ada Laporan</t>
  </si>
  <si>
    <r>
      <rPr>
        <sz val="11"/>
        <color rgb="FF000000"/>
        <rFont val="Aptos Narrow"/>
        <scheme val="minor"/>
      </rPr>
      <t>Mahasiswa hanya</t>
    </r>
    <r>
      <rPr>
        <b/>
        <sz val="11"/>
        <color rgb="FF000000"/>
        <rFont val="Aptos Narrow"/>
        <scheme val="minor"/>
      </rPr>
      <t xml:space="preserve"> </t>
    </r>
    <r>
      <rPr>
        <b/>
        <sz val="11"/>
        <color rgb="FF145F82"/>
        <rFont val="Aptos Narrow"/>
        <scheme val="minor"/>
      </rPr>
      <t>mampu mengikuti sebagian isi pedoman penulisan</t>
    </r>
  </si>
  <si>
    <r>
      <rPr>
        <sz val="11"/>
        <color rgb="FF000000"/>
        <rFont val="Aptos Narrow"/>
        <scheme val="minor"/>
      </rPr>
      <t xml:space="preserve">Mahasiswa </t>
    </r>
    <r>
      <rPr>
        <b/>
        <sz val="11"/>
        <color rgb="FF145F82"/>
        <rFont val="Aptos Narrow"/>
        <scheme val="minor"/>
      </rPr>
      <t>mampu mengikuti pedoman</t>
    </r>
    <r>
      <rPr>
        <sz val="11"/>
        <color rgb="FF000000"/>
        <rFont val="Aptos Narrow"/>
        <scheme val="minor"/>
      </rPr>
      <t xml:space="preserve"> penulisan dengan baik</t>
    </r>
  </si>
  <si>
    <r>
      <rPr>
        <sz val="11"/>
        <color rgb="FF000000"/>
        <rFont val="Aptos Narrow"/>
      </rPr>
      <t>Mahasiswa</t>
    </r>
    <r>
      <rPr>
        <sz val="11"/>
        <color rgb="FF145F82"/>
        <rFont val="Aptos Narrow"/>
      </rPr>
      <t xml:space="preserve"> mampu mengikuti pedoman penulisan laporan capstone dengan secara runut dan mudah dimengerti</t>
    </r>
  </si>
  <si>
    <r>
      <rPr>
        <sz val="11"/>
        <color rgb="FF000000"/>
        <rFont val="Aptos Narrow"/>
      </rPr>
      <t>Mahasiswa</t>
    </r>
    <r>
      <rPr>
        <sz val="11"/>
        <color rgb="FF145F82"/>
        <rFont val="Aptos Narrow"/>
      </rPr>
      <t xml:space="preserve"> mampu mengikuti pedoman penulisan laporan capstone dengan secara runut dan mudah dimengerti, serta disertai penjelasan  yang dikaitkan dengan literatur yang tepat</t>
    </r>
  </si>
  <si>
    <r>
      <rPr>
        <sz val="11"/>
        <color rgb="FF145F82"/>
        <rFont val="Aptos Narrow"/>
      </rPr>
      <t xml:space="preserve">Memenuhi kriiteria [4],  </t>
    </r>
    <r>
      <rPr>
        <b/>
        <sz val="11"/>
        <color rgb="FF145F82"/>
        <rFont val="Aptos Narrow"/>
      </rPr>
      <t>Menyimpulkan hasil</t>
    </r>
    <r>
      <rPr>
        <b/>
        <sz val="11"/>
        <color rgb="FF000000"/>
        <rFont val="Aptos Narrow"/>
      </rPr>
      <t xml:space="preserve"> </t>
    </r>
    <r>
      <rPr>
        <sz val="11"/>
        <color rgb="FF000000"/>
        <rFont val="Aptos Narrow"/>
      </rPr>
      <t xml:space="preserve">pekerjaan, dan memberikan </t>
    </r>
    <r>
      <rPr>
        <b/>
        <sz val="11"/>
        <color rgb="FF145F82"/>
        <rFont val="Aptos Narrow"/>
      </rPr>
      <t>rekomendasi perbaikan</t>
    </r>
    <r>
      <rPr>
        <sz val="11"/>
        <color rgb="FF000000"/>
        <rFont val="Aptos Narrow"/>
      </rPr>
      <t xml:space="preserve"> kedepannya</t>
    </r>
  </si>
  <si>
    <t>Kelancaran dan kualitas dalam melakukan presentasi</t>
  </si>
  <si>
    <t>Tidak Melakukan Presentasi</t>
  </si>
  <si>
    <t>Mahasiswa mampu menjelaskan sebagian ide dan hasil kerja pada saat presentasi hasil kerj</t>
  </si>
  <si>
    <t>Mahasiswa mampu menjelaskan secara lisan pekerjaan yang dilakukan namun belum runut secara keseluruhan</t>
  </si>
  <si>
    <r>
      <rPr>
        <sz val="11"/>
        <color rgb="FF000000"/>
        <rFont val="Aptos Narrow"/>
      </rPr>
      <t xml:space="preserve">Mahasiswa mampu menjelaskan secara lisan pekerjaan yang dilakukan runut secara keseluruhan, </t>
    </r>
    <r>
      <rPr>
        <b/>
        <sz val="11"/>
        <color rgb="FF000000"/>
        <rFont val="Aptos Narrow"/>
      </rPr>
      <t>lancar dan jelas</t>
    </r>
    <r>
      <rPr>
        <sz val="11"/>
        <color rgb="FF000000"/>
        <rFont val="Aptos Narrow"/>
      </rPr>
      <t xml:space="preserve"> hasil pekerjaan yang dilakukan, belum mampu menguasai audience, dan belum dapat menggunakan waktu presentasi secara efisien, menjawab kurang dari 70% pertanyaan dengan tepat
</t>
    </r>
  </si>
  <si>
    <r>
      <rPr>
        <sz val="11"/>
        <color rgb="FF000000"/>
        <rFont val="Aptos Narrow"/>
      </rPr>
      <t xml:space="preserve">Mahasiswa mampu menjelaskan secara lisan pekerjaan yang dilakukan runut secara keseluruhan, </t>
    </r>
    <r>
      <rPr>
        <b/>
        <sz val="11"/>
        <color rgb="FF000000"/>
        <rFont val="Aptos Narrow"/>
      </rPr>
      <t>lancar dan jelas</t>
    </r>
    <r>
      <rPr>
        <sz val="11"/>
        <color rgb="FF000000"/>
        <rFont val="Aptos Narrow"/>
      </rPr>
      <t xml:space="preserve"> hasil pekerjaan yang dilakukan, mampu menguasai audience, dapat menggunakan waktu presentasi, secara efisien, menjawab lebih dari 70% pertanyaan dengan tepat
</t>
    </r>
  </si>
  <si>
    <r>
      <rPr>
        <sz val="11"/>
        <color rgb="FF000000"/>
        <rFont val="Aptos Narrow"/>
      </rPr>
      <t xml:space="preserve">Mahasiswa mampu menjelaskan secara lisan pekerjaan yang dilakukan runut secara keseluruhan, </t>
    </r>
    <r>
      <rPr>
        <b/>
        <sz val="11"/>
        <color rgb="FF000000"/>
        <rFont val="Aptos Narrow"/>
      </rPr>
      <t>lancar dan jelas</t>
    </r>
    <r>
      <rPr>
        <sz val="11"/>
        <color rgb="FF000000"/>
        <rFont val="Aptos Narrow"/>
      </rPr>
      <t xml:space="preserve"> hasil pekerjaan yang dilakukan, mampu menguasai audience, dapat menggunakan waktu presentasi, secara efisien, menjawab lebih dari 80% pertanyaan dengan tepat
</t>
    </r>
  </si>
  <si>
    <t>CLO7</t>
  </si>
  <si>
    <t>Mampu merencanakan, menyelesaikan dan mengevaluasi tugas didalam batasan-batasan yang ada</t>
  </si>
  <si>
    <t>Kelengkapan rencana kerja, logbook</t>
  </si>
  <si>
    <r>
      <rPr>
        <sz val="10"/>
        <color rgb="FF000000"/>
        <rFont val="Arial"/>
      </rPr>
      <t xml:space="preserve">Kelengkapan rencana kerja dan logbook </t>
    </r>
    <r>
      <rPr>
        <b/>
        <sz val="10"/>
        <color rgb="FF000000"/>
        <rFont val="Arial"/>
      </rPr>
      <t>kurang dari 40%</t>
    </r>
  </si>
  <si>
    <r>
      <rPr>
        <sz val="10"/>
        <color rgb="FF000000"/>
        <rFont val="Arial"/>
      </rPr>
      <t xml:space="preserve">Kelengkapan rencana kerja dan </t>
    </r>
    <r>
      <rPr>
        <b/>
        <sz val="10"/>
        <color rgb="FF000000"/>
        <rFont val="Arial"/>
      </rPr>
      <t>logbook</t>
    </r>
    <r>
      <rPr>
        <sz val="10"/>
        <color rgb="FF000000"/>
        <rFont val="Arial"/>
      </rPr>
      <t xml:space="preserve"> </t>
    </r>
    <r>
      <rPr>
        <b/>
        <sz val="10"/>
        <color rgb="FF000000"/>
        <rFont val="Arial"/>
      </rPr>
      <t>minimal 40%</t>
    </r>
  </si>
  <si>
    <r>
      <rPr>
        <sz val="10"/>
        <color rgb="FF000000"/>
        <rFont val="Arial"/>
      </rPr>
      <t xml:space="preserve">Kelengkapan rencana kerja dan </t>
    </r>
    <r>
      <rPr>
        <b/>
        <sz val="10"/>
        <color rgb="FF000000"/>
        <rFont val="Arial"/>
      </rPr>
      <t>logbook</t>
    </r>
    <r>
      <rPr>
        <sz val="10"/>
        <color rgb="FF000000"/>
        <rFont val="Arial"/>
      </rPr>
      <t xml:space="preserve"> </t>
    </r>
    <r>
      <rPr>
        <b/>
        <sz val="10"/>
        <color rgb="FF000000"/>
        <rFont val="Arial"/>
      </rPr>
      <t>minimal 60%</t>
    </r>
  </si>
  <si>
    <r>
      <rPr>
        <sz val="10"/>
        <color rgb="FF000000"/>
        <rFont val="Arial"/>
      </rPr>
      <t xml:space="preserve">Kelengkapan rencana kerja dan </t>
    </r>
    <r>
      <rPr>
        <b/>
        <sz val="10"/>
        <color rgb="FF000000"/>
        <rFont val="Arial"/>
      </rPr>
      <t>logbook minimal 80%</t>
    </r>
  </si>
  <si>
    <r>
      <rPr>
        <sz val="10"/>
        <color rgb="FF000000"/>
        <rFont val="Arial"/>
      </rPr>
      <t xml:space="preserve">Kelengkapan rencana kerja dan </t>
    </r>
    <r>
      <rPr>
        <b/>
        <sz val="10"/>
        <color rgb="FF000000"/>
        <rFont val="Arial"/>
      </rPr>
      <t>logbook 100%</t>
    </r>
  </si>
  <si>
    <t>Komitmen terhadap tugas</t>
  </si>
  <si>
    <r>
      <rPr>
        <sz val="10"/>
        <color rgb="FF000000"/>
        <rFont val="Arial"/>
      </rPr>
      <t xml:space="preserve">Mahasiswa </t>
    </r>
    <r>
      <rPr>
        <b/>
        <sz val="10"/>
        <color rgb="FF000000"/>
        <rFont val="Arial"/>
      </rPr>
      <t xml:space="preserve">tidak dapat </t>
    </r>
    <r>
      <rPr>
        <sz val="10"/>
        <color rgb="FF000000"/>
        <rFont val="Arial"/>
      </rPr>
      <t>menyelesaikan tugas/ pekerjaan</t>
    </r>
  </si>
  <si>
    <r>
      <rPr>
        <sz val="10"/>
        <color rgb="FF000000"/>
        <rFont val="Arial"/>
      </rPr>
      <t xml:space="preserve">Mahasiswa menyelesaikan </t>
    </r>
    <r>
      <rPr>
        <b/>
        <sz val="10"/>
        <color rgb="FF000000"/>
        <rFont val="Arial"/>
      </rPr>
      <t>sebagian kecil</t>
    </r>
    <r>
      <rPr>
        <sz val="10"/>
        <color rgb="FF000000"/>
        <rFont val="Arial"/>
      </rPr>
      <t xml:space="preserve"> tugas/pekerjaan</t>
    </r>
  </si>
  <si>
    <r>
      <rPr>
        <sz val="10"/>
        <color rgb="FF000000"/>
        <rFont val="Arial"/>
      </rPr>
      <t xml:space="preserve">Mahasiswa menyelesaikan </t>
    </r>
    <r>
      <rPr>
        <b/>
        <sz val="10"/>
        <color rgb="FF000000"/>
        <rFont val="Arial"/>
      </rPr>
      <t>sebagian besar</t>
    </r>
    <r>
      <rPr>
        <sz val="10"/>
        <color rgb="FF000000"/>
        <rFont val="Arial"/>
      </rPr>
      <t xml:space="preserve"> tugas/pekerjaan sesuai arahan</t>
    </r>
  </si>
  <si>
    <r>
      <rPr>
        <sz val="10"/>
        <color rgb="FF000000"/>
        <rFont val="Arial"/>
      </rPr>
      <t xml:space="preserve">Mahasiswa menyelesaikan </t>
    </r>
    <r>
      <rPr>
        <b/>
        <sz val="10"/>
        <color rgb="FF000000"/>
        <rFont val="Arial"/>
      </rPr>
      <t>seluruh</t>
    </r>
    <r>
      <rPr>
        <sz val="10"/>
        <color rgb="FF000000"/>
        <rFont val="Arial"/>
      </rPr>
      <t xml:space="preserve"> tugas/pekerjaan secara kritis, sesuai arahan, dan </t>
    </r>
    <r>
      <rPr>
        <b/>
        <sz val="10"/>
        <color rgb="FF000000"/>
        <rFont val="Arial"/>
      </rPr>
      <t>tepat waktu</t>
    </r>
  </si>
  <si>
    <r>
      <rPr>
        <sz val="10"/>
        <color rgb="FF000000"/>
        <rFont val="Arial"/>
      </rPr>
      <t xml:space="preserve">Mahasiswa menyelesaikan seluruh tugas/pekerjaan secara kritis, sesuai arahan, dan tepat waktu, dengan </t>
    </r>
    <r>
      <rPr>
        <b/>
        <sz val="10"/>
        <color rgb="FF000000"/>
        <rFont val="Arial"/>
      </rPr>
      <t>kualitas yang baik</t>
    </r>
  </si>
  <si>
    <t>CLO8</t>
  </si>
  <si>
    <t>Kemampuan mengenali kebutuhan teori / informasi / model / kerangka standar / metode / perangkat untuk menyelesaikan permasalahan kompleks pada sistem nyata secara mandiri</t>
  </si>
  <si>
    <t>Tidak ada  teori / informasi / model / kerangka standar / metode / perangkat yang belum dipelajari pada semester sebelumnya dalam mendukung project capstone design</t>
  </si>
  <si>
    <t xml:space="preserve">Mempelajari teori / informasi / model / kerangka standar / metode / perangkat yang belum dipelajari pada semester sebelumnya dalam mendukung project capstone design namun memerlukan bimbingan secara intensif
</t>
  </si>
  <si>
    <t>Mempelajari teori / informasi / model / kerangka standar / metode / perangkat yang belum dipelajari pada semester sebelumnya dalam mendukung project capstone design namun memerlukan bimbingan jika diperlukan</t>
  </si>
  <si>
    <t xml:space="preserve">Aktif mempelajari secara mandiri  teori / informasi / model / kerangka standar / metode / perangkat yang belum dipelajari pada semester sebelumnya dalam mendukung project capstone design
</t>
  </si>
  <si>
    <t>Aktif mencari dan mempelajari secara mandiri teori / informasi / model / kerangka standar / metode / perangkat yang belum dipelajari pada semester sebelumnya dalam mendukung project capstone design</t>
  </si>
  <si>
    <t>Sub CLO</t>
  </si>
  <si>
    <t>Bobot</t>
  </si>
  <si>
    <t>Total Bobot PerCLO</t>
  </si>
  <si>
    <t>Mampu mengidentifikasikan permasalahan kompleks</t>
  </si>
  <si>
    <t>1.1 Mampu mengumpulkan data dan informasi yang relevan untuk mengidentifikasi permasalahan.</t>
  </si>
  <si>
    <t>1.2 Mampu menganalisis dan memformulasikan permasalahan utama yang dihadapi.</t>
  </si>
  <si>
    <t>1.3 Mampu menganalisis permasalahan utama yang dihadapi</t>
  </si>
  <si>
    <t>2.1 Mampu mengembangkan alternatif solusi berdasarkan analisis permasalahan.</t>
  </si>
  <si>
    <t>2.2 Mampu memilih model yang sesuai dan merancang sistem yang memenuhi kebutuhan.</t>
  </si>
  <si>
    <t>3.1 Mampu mengembangkan skenario pengujian untuk memverifikasi sistem.</t>
  </si>
  <si>
    <t>3.2 Mampu melakukan validasi terhadap hasil rancangan dan melakukan penyesuaian jika diperlukan.</t>
  </si>
  <si>
    <t>4.1 Mampu menggunakan perangkat lunak atau alat berbasis IT yang relevan dalam pengembangan siste</t>
  </si>
  <si>
    <t>4.2 Mampu menerapkan teknologi informasi untuk mengoptimalkan solusi yang dirancang.</t>
  </si>
  <si>
    <t>6.1 Mampu menyusun laporan tertulis yang terstruktur dan komprehensif.</t>
  </si>
  <si>
    <t>6.2 Mampu mempresentasikan hasil kerja secara jelas dan efektif.</t>
  </si>
  <si>
    <t>7.1 Mampu merencanakan dan mengelola proyek dengan mempertimbangkan batasan waktu dan sumber daya.</t>
  </si>
  <si>
    <t>7.2 Mampu mengevaluasi hasil kerja berdasarkan kriteria yang telah ditetapkan.</t>
  </si>
  <si>
    <t>Minggu pertama perkuliahan Ganjil 2425 : 16 September 2024</t>
  </si>
  <si>
    <t>Timeline:</t>
  </si>
  <si>
    <t>Tanggal (Ganjil 2425)</t>
  </si>
  <si>
    <t>Keternagan</t>
  </si>
  <si>
    <t>Minggu min 4 weeks: penentuan kelompok (sosilasasi)</t>
  </si>
  <si>
    <t>12 - 16 Agustus 2024</t>
  </si>
  <si>
    <t>Menentukan kelompok masing</t>
  </si>
  <si>
    <t>Form Pendaftaran kelompok</t>
  </si>
  <si>
    <t>Fahmi (ambil dr TI...dimodif untuk Prodi2</t>
  </si>
  <si>
    <t>Minggu min 2 weeks: preload di igracias untuk pembagian kelas</t>
  </si>
  <si>
    <t>19 - 23 Agustus 2024</t>
  </si>
  <si>
    <t>Minggu ke-0 memilih topik</t>
  </si>
  <si>
    <t>9 - 13 September 2024</t>
  </si>
  <si>
    <t>Minggu ke-1 screening topik (fix)</t>
  </si>
  <si>
    <t>16 - 20 September 2024</t>
  </si>
  <si>
    <t>Minggu ke-2 Sosialisasi pengerjaan BOK</t>
  </si>
  <si>
    <t>23 - 27 September 2024</t>
  </si>
  <si>
    <t>Laporan Problem Formulation</t>
  </si>
  <si>
    <t>Minggu ke-4 Proposal review model yang akan digunakan. step &gt; bab 3 (submit di LMS) -&gt; take nilai DE</t>
  </si>
  <si>
    <t>7 - 11 Oktober 2024</t>
  </si>
  <si>
    <t>minggu ke-5 metode : Review perancangan</t>
  </si>
  <si>
    <t>14 - 18 Oktober 2024</t>
  </si>
  <si>
    <t>minggu ke-7 progress (upload activity completion) - Upload LMS</t>
  </si>
  <si>
    <t>28 Okt - 1 Nov 2024</t>
  </si>
  <si>
    <t>minggu ke-8 progress (upload activity completion) - Upload LMS</t>
  </si>
  <si>
    <t>4 - 8 November 2024</t>
  </si>
  <si>
    <t>minggu ke-9 progress (upload activity completion) - Upload LMS</t>
  </si>
  <si>
    <t>11 - 15 November 2024</t>
  </si>
  <si>
    <t xml:space="preserve">minggu ke-10 hasil perancangan (verifikasi validasi) </t>
  </si>
  <si>
    <t>18 - 22 November 2024</t>
  </si>
  <si>
    <t>minggu ke-11 take nilai (laporan progress)</t>
  </si>
  <si>
    <t>25 - 29 November 2024</t>
  </si>
  <si>
    <t>Minggu ke-12 Pengerjaan prototype</t>
  </si>
  <si>
    <t>2 - 6 Desember 2024</t>
  </si>
  <si>
    <t>Minggu ke-13 Pengerjaan prototype</t>
  </si>
  <si>
    <t>9 - 13 Desember 2024</t>
  </si>
  <si>
    <t>Minggu ke-14 Pengerjaan prototype</t>
  </si>
  <si>
    <t>16 - 20 Desember 2024</t>
  </si>
  <si>
    <t>minggu ke-15 keekonomian dan Final report (presentasi) -&gt;  (take nilai) -&gt; upload LMS</t>
  </si>
  <si>
    <t>23 - 27 Desember 2024</t>
  </si>
  <si>
    <t>Final Report+ Presentasi</t>
  </si>
  <si>
    <t>minggu ke-16 (prototype produk): pameran (take nilai - communication)</t>
  </si>
  <si>
    <t>30 Des 2024 - 3 Jan 2025</t>
  </si>
  <si>
    <t>Pameran</t>
  </si>
  <si>
    <t>Pertanyaan</t>
  </si>
  <si>
    <t>Merge</t>
  </si>
  <si>
    <t>No</t>
  </si>
  <si>
    <t>Pertanyaan Kuesioner Peer Review</t>
  </si>
  <si>
    <t>Mengerjakan seluruh tugas yang menjadi tanggung jawabnya dengan kualitas yang sesuai standar</t>
  </si>
  <si>
    <t>Memiliki inisiatif dalam kelompok, memberikan ide dan mengerjakan tugasnya sesuai tanggung jawab dan kualitas yang sesuai dengan standar yang diberikan</t>
  </si>
  <si>
    <t>Mengerjakan seluruh tugas yang menjadi tanggung jawabnya dengan kualitas yang sesuai standar.</t>
  </si>
  <si>
    <t>Proaktif dalam membantu anggota tim jika mengalami kendala dalam mengerjakan tugas kelompok</t>
  </si>
  <si>
    <t>Memiliki rasa tanggung jawab atas tugas dan tujuan kelompok dan Proaktif dalam membantu anggota tim jika mengalami kendala dalam mengerjakan tugas kelompok</t>
  </si>
  <si>
    <t>Mudah untuk dihubungi serta bertemu dalam melakukan kerja kelompok.</t>
  </si>
  <si>
    <t>Aktif dalam berkontribusi sebagai anggota kelompok</t>
  </si>
  <si>
    <t>Aktif dalam berkontribusi sebagai anggota kelompok serta memberikan sumber rujukan terkait strategi atau tips yang dapat membantu anggota tim dalam memahami dan menyelesaikan tugas</t>
  </si>
  <si>
    <t>Proaktif dalam membantu anggota tim jika mengalami kendala dalam mengerjakan tugas kelompok serta aktif dalam berkontribusi sebagai anggota kelompok.</t>
  </si>
  <si>
    <t>Aktif memberikan sumber rujukan terkait strategi atau tips yang dapat membantu anggota tim dalam memahami dan menyelesaikan tugas</t>
  </si>
  <si>
    <t>Mudah dihubungi, memiliki inisiatif untuk berdiskusi kelompok, dan ditemui untuk melakukan pekerjaan</t>
  </si>
  <si>
    <t>Berinisiatif untuk memulai pertemuan atau diskusi kelompok serta membantu pembagian tugas kelompok.</t>
  </si>
  <si>
    <t>Berinisiatif untuk memulai pertemuan atau diskusi kelompok</t>
  </si>
  <si>
    <t>Secara aktif memberikan ide atau usulan terkait dengan permasalahan yang dibahas serta memiliki rasa tanggung jawab atas tugas dan tujuan kelompok.</t>
  </si>
  <si>
    <t>Mudah untuk dihubungi untuk berdiskusi terkait dengan pekerjaan kelompok</t>
  </si>
  <si>
    <t>Berinisiatif dalam membagi tugas dalam kelompok</t>
  </si>
  <si>
    <t>Secara aktif memberikan ide atau usulan terkait dengan permasalahan yang dibahas</t>
  </si>
  <si>
    <t>Memiliki kemudahan untuk bertemu dalam melakukan kerja kelompok</t>
  </si>
  <si>
    <t>Memiliki rasa tanggung jawab atas tugas dan tujuan kelompok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</si>
</sst>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Aptos Narrow"/>
      <family val="2"/>
      <scheme val="minor"/>
    </font>
    <font>
      <sz val="11"/>
      <color rgb="FF000000"/>
      <name val="Aptos Narrow"/>
      <scheme val="minor"/>
    </font>
    <font>
      <b/>
      <sz val="11"/>
      <color rgb="FFFF0000"/>
      <name val="Aptos Narrow"/>
      <scheme val="minor"/>
    </font>
    <font>
      <b/>
      <sz val="11"/>
      <color theme="1"/>
      <name val="Aptos Narrow"/>
      <family val="2"/>
      <scheme val="minor"/>
    </font>
    <font>
      <b/>
      <sz val="11"/>
      <color rgb="FF000000"/>
      <name val="Aptos Narrow"/>
      <scheme val="minor"/>
    </font>
    <font>
      <sz val="11"/>
      <color rgb="FF000000"/>
      <name val="Aptos Narrow"/>
      <family val="2"/>
      <scheme val="minor"/>
    </font>
    <font>
      <sz val="11"/>
      <color rgb="FF000000"/>
      <name val="Aptos Narrow"/>
    </font>
    <font>
      <sz val="11"/>
      <color theme="1"/>
      <name val="Aptos Narrow"/>
    </font>
    <font>
      <b/>
      <sz val="11"/>
      <color rgb="FF000000"/>
      <name val="Aptos Narrow"/>
    </font>
    <font>
      <sz val="11"/>
      <color rgb="FF000000"/>
      <name val="Calibri"/>
    </font>
    <font>
      <b/>
      <sz val="11"/>
      <color rgb="FFFF0000"/>
      <name val="Calibri"/>
    </font>
    <font>
      <b/>
      <sz val="11"/>
      <color rgb="FF000000"/>
      <name val="Calibri"/>
    </font>
    <font>
      <b/>
      <sz val="11"/>
      <color rgb="FF0070C0"/>
      <name val="Calibri"/>
    </font>
    <font>
      <sz val="11"/>
      <name val="Aptos Narrow"/>
      <family val="2"/>
      <scheme val="minor"/>
    </font>
    <font>
      <b/>
      <sz val="11"/>
      <color rgb="FF145F82"/>
      <name val="Aptos Narrow"/>
      <scheme val="minor"/>
    </font>
    <font>
      <sz val="11"/>
      <color theme="1"/>
      <name val="Aptos Narrow"/>
      <scheme val="minor"/>
    </font>
    <font>
      <b/>
      <sz val="11"/>
      <color rgb="FF0070C0"/>
      <name val="Aptos Narrow"/>
      <scheme val="minor"/>
    </font>
    <font>
      <b/>
      <sz val="11"/>
      <color rgb="FF00B050"/>
      <name val="Aptos Narrow"/>
      <scheme val="minor"/>
    </font>
    <font>
      <b/>
      <sz val="11"/>
      <color rgb="FFA02B93"/>
      <name val="Aptos Narrow"/>
      <scheme val="minor"/>
    </font>
    <font>
      <sz val="11"/>
      <color rgb="FFA02B93"/>
      <name val="Aptos Narrow"/>
      <scheme val="minor"/>
    </font>
    <font>
      <sz val="11"/>
      <color rgb="FF00B050"/>
      <name val="Aptos Narrow"/>
      <scheme val="minor"/>
    </font>
    <font>
      <b/>
      <sz val="11"/>
      <color rgb="FF0C769E"/>
      <name val="Aptos Narrow"/>
      <scheme val="minor"/>
    </font>
    <font>
      <sz val="11"/>
      <color rgb="FF000000"/>
      <name val="Aptos Narrow"/>
      <charset val="1"/>
    </font>
    <font>
      <sz val="10"/>
      <color rgb="FF000000"/>
      <name val="Arial"/>
    </font>
    <font>
      <b/>
      <sz val="10"/>
      <color rgb="FF000000"/>
      <name val="Arial"/>
    </font>
    <font>
      <b/>
      <sz val="11"/>
      <color rgb="FF145F82"/>
      <name val="Aptos Narrow"/>
    </font>
    <font>
      <sz val="11"/>
      <color rgb="FF145F82"/>
      <name val="Aptos Narrow"/>
    </font>
    <font>
      <i/>
      <sz val="11"/>
      <color rgb="FF4EA72E"/>
      <name val="Aptos Narrow"/>
      <scheme val="minor"/>
    </font>
    <font>
      <sz val="11"/>
      <color theme="9" tint="-0.499984740745262"/>
      <name val="Aptos Narrow"/>
      <family val="2"/>
      <scheme val="minor"/>
    </font>
    <font>
      <b/>
      <sz val="11"/>
      <name val="Aptos Narrow"/>
      <family val="2"/>
      <scheme val="minor"/>
    </font>
    <font>
      <b/>
      <sz val="10"/>
      <color rgb="FF000000"/>
      <name val="Arial"/>
      <family val="2"/>
    </font>
    <font>
      <b/>
      <sz val="10"/>
      <color rgb="FF000000"/>
      <name val="Aptos Narrow"/>
      <family val="2"/>
      <scheme val="minor"/>
    </font>
    <font>
      <sz val="10"/>
      <color rgb="FF000000"/>
      <name val="Arial"/>
      <family val="2"/>
    </font>
    <font>
      <sz val="9"/>
      <color rgb="FF000000"/>
      <name val="Arial"/>
    </font>
    <font>
      <b/>
      <sz val="9"/>
      <color rgb="FF000000"/>
      <name val="Arial"/>
      <family val="2"/>
    </font>
    <font>
      <sz val="9"/>
      <color rgb="FF000000"/>
      <name val="Arial"/>
      <family val="2"/>
    </font>
    <font>
      <sz val="12"/>
      <color theme="1"/>
      <name val="Aptos Narrow"/>
      <family val="2"/>
      <scheme val="minor"/>
    </font>
    <font>
      <sz val="10"/>
      <color rgb="FF000000"/>
      <name val="Tahoma"/>
      <charset val="1"/>
    </font>
  </fonts>
  <fills count="16">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B6D7A8"/>
        <bgColor indexed="64"/>
      </patternFill>
    </fill>
    <fill>
      <patternFill patternType="solid">
        <fgColor rgb="FFD9D9D9"/>
        <bgColor indexed="64"/>
      </patternFill>
    </fill>
    <fill>
      <patternFill patternType="solid">
        <fgColor rgb="FFCCCCCC"/>
        <bgColor indexed="64"/>
      </patternFill>
    </fill>
    <fill>
      <patternFill patternType="solid">
        <fgColor theme="5" tint="0.59999389629810485"/>
        <bgColor indexed="64"/>
      </patternFill>
    </fill>
    <fill>
      <patternFill patternType="solid">
        <fgColor rgb="FFF8CBAD"/>
        <bgColor indexed="64"/>
      </patternFill>
    </fill>
    <fill>
      <patternFill patternType="solid">
        <fgColor rgb="FFEFEFEF"/>
        <bgColor indexed="64"/>
      </patternFill>
    </fill>
    <fill>
      <patternFill patternType="solid">
        <fgColor rgb="FFD0CECE"/>
        <bgColor indexed="64"/>
      </patternFill>
    </fill>
    <fill>
      <patternFill patternType="solid">
        <fgColor rgb="FFFFFFFF"/>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medium">
        <color rgb="FF000000"/>
      </right>
      <top style="thin">
        <color rgb="FF000000"/>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right style="medium">
        <color indexed="64"/>
      </right>
      <top/>
      <bottom style="thin">
        <color rgb="FF000000"/>
      </bottom>
      <diagonal/>
    </border>
    <border>
      <left style="medium">
        <color rgb="FF000000"/>
      </left>
      <right/>
      <top/>
      <bottom/>
      <diagonal/>
    </border>
  </borders>
  <cellStyleXfs count="1">
    <xf numFmtId="0" fontId="0" fillId="0" borderId="0"/>
  </cellStyleXfs>
  <cellXfs count="180">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1" xfId="0" applyBorder="1" applyAlignment="1">
      <alignment wrapText="1"/>
    </xf>
    <xf numFmtId="0" fontId="3" fillId="0" borderId="1" xfId="0" applyFont="1" applyBorder="1" applyAlignment="1">
      <alignment horizontal="center" vertical="center"/>
    </xf>
    <xf numFmtId="0" fontId="13" fillId="0" borderId="0" xfId="0" applyFont="1" applyAlignment="1">
      <alignment vertical="center" wrapText="1"/>
    </xf>
    <xf numFmtId="0" fontId="0" fillId="3" borderId="0" xfId="0" applyFill="1"/>
    <xf numFmtId="0" fontId="3" fillId="0" borderId="0" xfId="0" applyFont="1"/>
    <xf numFmtId="0" fontId="0" fillId="0" borderId="0" xfId="0" applyAlignment="1">
      <alignment vertical="top" wrapText="1"/>
    </xf>
    <xf numFmtId="0" fontId="0" fillId="4" borderId="0" xfId="0" applyFill="1" applyAlignment="1">
      <alignment wrapText="1"/>
    </xf>
    <xf numFmtId="0" fontId="22" fillId="0" borderId="0" xfId="0" applyFont="1" applyAlignment="1">
      <alignment wrapText="1"/>
    </xf>
    <xf numFmtId="0" fontId="0" fillId="2"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0" borderId="0" xfId="0" applyAlignment="1">
      <alignment horizontal="left" vertical="center"/>
    </xf>
    <xf numFmtId="0" fontId="3" fillId="0" borderId="0" xfId="0" applyFont="1" applyAlignment="1">
      <alignment horizontal="center"/>
    </xf>
    <xf numFmtId="0" fontId="0" fillId="3" borderId="0" xfId="0" applyFill="1" applyAlignment="1">
      <alignment horizontal="center"/>
    </xf>
    <xf numFmtId="0" fontId="3" fillId="2" borderId="0" xfId="0" applyFont="1" applyFill="1"/>
    <xf numFmtId="0" fontId="0" fillId="0" borderId="1" xfId="0" applyBorder="1" applyAlignment="1">
      <alignment vertical="top" wrapText="1"/>
    </xf>
    <xf numFmtId="20" fontId="0" fillId="0" borderId="1" xfId="0" applyNumberFormat="1" applyBorder="1" applyAlignment="1">
      <alignment vertical="top" wrapText="1"/>
    </xf>
    <xf numFmtId="0" fontId="0" fillId="0" borderId="1" xfId="0" applyBorder="1" applyAlignment="1">
      <alignment vertical="top"/>
    </xf>
    <xf numFmtId="0" fontId="0" fillId="0" borderId="0" xfId="0" applyAlignment="1">
      <alignment vertical="top"/>
    </xf>
    <xf numFmtId="0" fontId="3" fillId="0" borderId="1" xfId="0" applyFont="1" applyBorder="1" applyAlignment="1">
      <alignment horizontal="center" vertical="center" wrapText="1"/>
    </xf>
    <xf numFmtId="0" fontId="0" fillId="0" borderId="1" xfId="0" applyBorder="1" applyAlignment="1">
      <alignment vertical="center"/>
    </xf>
    <xf numFmtId="0" fontId="3" fillId="0" borderId="1" xfId="0" applyFont="1" applyBorder="1" applyAlignment="1">
      <alignment vertical="center"/>
    </xf>
    <xf numFmtId="0" fontId="3" fillId="0" borderId="5" xfId="0" applyFon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22" fillId="0" borderId="1"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1" xfId="0" applyFont="1" applyBorder="1" applyAlignment="1">
      <alignment vertical="center" wrapText="1"/>
    </xf>
    <xf numFmtId="0" fontId="13" fillId="0" borderId="1" xfId="0" applyFont="1" applyBorder="1" applyAlignment="1">
      <alignment vertical="center" wrapText="1"/>
    </xf>
    <xf numFmtId="9" fontId="0" fillId="0" borderId="1" xfId="0" applyNumberFormat="1" applyBorder="1" applyAlignment="1">
      <alignment horizontal="center" vertical="center" wrapText="1"/>
    </xf>
    <xf numFmtId="0" fontId="0" fillId="7" borderId="1" xfId="0" applyFill="1" applyBorder="1" applyAlignment="1">
      <alignment vertical="center" wrapText="1"/>
    </xf>
    <xf numFmtId="0" fontId="3" fillId="0" borderId="0" xfId="0" applyFont="1" applyAlignment="1">
      <alignment horizontal="center" vertical="center"/>
    </xf>
    <xf numFmtId="0" fontId="0" fillId="0" borderId="1" xfId="0" applyBorder="1" applyAlignment="1">
      <alignment horizontal="left" vertical="center" wrapText="1"/>
    </xf>
    <xf numFmtId="0" fontId="5" fillId="0" borderId="1" xfId="0" applyFont="1" applyBorder="1" applyAlignment="1">
      <alignment vertical="center" wrapText="1"/>
    </xf>
    <xf numFmtId="0" fontId="28" fillId="0" borderId="1" xfId="0" applyFont="1" applyBorder="1" applyAlignment="1">
      <alignment horizontal="left" vertical="center" wrapText="1"/>
    </xf>
    <xf numFmtId="0" fontId="9" fillId="0" borderId="1" xfId="0" applyFont="1" applyBorder="1" applyAlignment="1">
      <alignment horizontal="left" vertical="center" wrapText="1"/>
    </xf>
    <xf numFmtId="0" fontId="15" fillId="7" borderId="1" xfId="0" applyFont="1" applyFill="1" applyBorder="1" applyAlignment="1">
      <alignment horizontal="left" vertical="center" wrapText="1"/>
    </xf>
    <xf numFmtId="0" fontId="15" fillId="7" borderId="1" xfId="0" applyFont="1" applyFill="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left"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23" fillId="0" borderId="1" xfId="0" applyFont="1" applyBorder="1" applyAlignment="1">
      <alignment horizontal="left" vertical="center" wrapText="1"/>
    </xf>
    <xf numFmtId="0" fontId="30" fillId="9" borderId="1" xfId="0" applyFont="1" applyFill="1" applyBorder="1" applyAlignment="1">
      <alignment horizontal="center" vertical="center" wrapText="1"/>
    </xf>
    <xf numFmtId="0" fontId="35" fillId="10" borderId="18" xfId="0" applyFont="1" applyFill="1" applyBorder="1" applyAlignment="1">
      <alignment horizontal="center" vertical="center" wrapText="1"/>
    </xf>
    <xf numFmtId="0" fontId="32" fillId="11" borderId="18" xfId="0" applyFont="1" applyFill="1" applyBorder="1" applyAlignment="1">
      <alignment horizontal="center" vertical="center" wrapText="1"/>
    </xf>
    <xf numFmtId="0" fontId="34" fillId="8" borderId="18" xfId="0" applyFont="1" applyFill="1" applyBorder="1" applyAlignment="1">
      <alignment horizontal="center" vertical="center" wrapText="1"/>
    </xf>
    <xf numFmtId="0" fontId="32" fillId="0" borderId="18" xfId="0" applyFont="1" applyBorder="1" applyAlignment="1">
      <alignment horizontal="center" vertical="top" wrapText="1"/>
    </xf>
    <xf numFmtId="0" fontId="32" fillId="15" borderId="18" xfId="0" applyFont="1" applyFill="1" applyBorder="1" applyAlignment="1">
      <alignment vertical="top" wrapText="1"/>
    </xf>
    <xf numFmtId="0" fontId="23" fillId="0" borderId="18" xfId="0" applyFont="1" applyBorder="1" applyAlignment="1">
      <alignment horizontal="center" vertical="top" wrapText="1"/>
    </xf>
    <xf numFmtId="0" fontId="30" fillId="8"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30" fillId="0" borderId="1" xfId="0" applyFont="1" applyBorder="1" applyAlignment="1">
      <alignment vertical="top" wrapText="1"/>
    </xf>
    <xf numFmtId="0" fontId="30" fillId="0" borderId="2" xfId="0" applyFont="1" applyBorder="1" applyAlignment="1">
      <alignment vertical="top" wrapText="1"/>
    </xf>
    <xf numFmtId="0" fontId="30" fillId="9" borderId="1" xfId="0" applyFont="1" applyFill="1" applyBorder="1" applyAlignment="1">
      <alignment horizontal="center" vertical="center" wrapText="1"/>
    </xf>
    <xf numFmtId="0" fontId="30" fillId="9" borderId="5" xfId="0" applyFont="1" applyFill="1" applyBorder="1" applyAlignment="1">
      <alignment horizontal="center" vertical="center" wrapText="1"/>
    </xf>
    <xf numFmtId="0" fontId="30" fillId="9" borderId="6" xfId="0" applyFont="1" applyFill="1" applyBorder="1" applyAlignment="1">
      <alignment horizontal="center" vertical="center" wrapText="1"/>
    </xf>
    <xf numFmtId="0" fontId="30" fillId="9" borderId="7" xfId="0" applyFont="1" applyFill="1" applyBorder="1" applyAlignment="1">
      <alignment horizontal="center" vertical="center" wrapText="1"/>
    </xf>
    <xf numFmtId="0" fontId="30" fillId="9" borderId="8" xfId="0" applyFont="1" applyFill="1" applyBorder="1" applyAlignment="1">
      <alignment horizontal="center" vertical="center" wrapText="1"/>
    </xf>
    <xf numFmtId="0" fontId="30" fillId="9" borderId="9" xfId="0" applyFont="1" applyFill="1" applyBorder="1" applyAlignment="1">
      <alignment horizontal="center" vertical="center" wrapText="1"/>
    </xf>
    <xf numFmtId="0" fontId="31" fillId="9" borderId="2" xfId="0" applyFont="1" applyFill="1" applyBorder="1" applyAlignment="1">
      <alignment horizontal="center" vertical="center" wrapText="1"/>
    </xf>
    <xf numFmtId="0" fontId="31" fillId="10" borderId="5" xfId="0" applyFont="1" applyFill="1" applyBorder="1" applyAlignment="1">
      <alignment horizontal="center" vertical="top" wrapText="1"/>
    </xf>
    <xf numFmtId="0" fontId="31" fillId="10" borderId="13" xfId="0" applyFont="1" applyFill="1" applyBorder="1" applyAlignment="1">
      <alignment horizontal="center" vertical="top" wrapText="1"/>
    </xf>
    <xf numFmtId="0" fontId="31" fillId="10" borderId="11" xfId="0" applyFont="1" applyFill="1" applyBorder="1" applyAlignment="1">
      <alignment horizontal="center" vertical="top" wrapText="1"/>
    </xf>
    <xf numFmtId="0" fontId="31" fillId="10" borderId="12" xfId="0" applyFont="1" applyFill="1" applyBorder="1" applyAlignment="1">
      <alignment horizontal="center" vertical="top" wrapText="1"/>
    </xf>
    <xf numFmtId="0" fontId="31" fillId="10" borderId="14" xfId="0" applyFont="1" applyFill="1" applyBorder="1" applyAlignment="1">
      <alignment horizontal="center" vertical="top" wrapText="1"/>
    </xf>
    <xf numFmtId="0" fontId="31" fillId="10" borderId="4" xfId="0" applyFont="1" applyFill="1" applyBorder="1" applyAlignment="1">
      <alignment horizontal="center" vertical="top"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0" xfId="0" applyFont="1" applyAlignment="1">
      <alignment horizontal="center" vertical="center" wrapText="1"/>
    </xf>
    <xf numFmtId="0" fontId="32" fillId="0" borderId="11"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6" xfId="0" applyFont="1" applyBorder="1" applyAlignment="1">
      <alignment horizontal="center" vertical="center" wrapText="1"/>
    </xf>
    <xf numFmtId="15" fontId="32" fillId="0" borderId="1" xfId="0" applyNumberFormat="1" applyFont="1" applyBorder="1" applyAlignment="1">
      <alignment horizontal="center" vertical="center" wrapText="1"/>
    </xf>
    <xf numFmtId="0" fontId="32" fillId="0" borderId="8" xfId="0" applyFont="1" applyBorder="1" applyAlignment="1">
      <alignment horizontal="left" vertical="center" wrapText="1"/>
    </xf>
    <xf numFmtId="0" fontId="32" fillId="0" borderId="0" xfId="0" applyFont="1" applyAlignment="1">
      <alignment horizontal="left" vertical="center" wrapText="1"/>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0" fillId="0" borderId="5" xfId="0" applyFont="1" applyBorder="1" applyAlignment="1">
      <alignment vertical="top" wrapText="1"/>
    </xf>
    <xf numFmtId="0" fontId="31" fillId="9" borderId="1" xfId="0" applyFont="1" applyFill="1" applyBorder="1" applyAlignment="1">
      <alignment vertical="top" wrapText="1"/>
    </xf>
    <xf numFmtId="0" fontId="32" fillId="0" borderId="7" xfId="0" applyFont="1" applyBorder="1" applyAlignment="1">
      <alignment horizontal="center" vertical="top" wrapText="1"/>
    </xf>
    <xf numFmtId="0" fontId="32" fillId="0" borderId="9" xfId="0" applyFont="1" applyBorder="1" applyAlignment="1">
      <alignment horizontal="center" vertical="top" wrapText="1"/>
    </xf>
    <xf numFmtId="0" fontId="32" fillId="0" borderId="10" xfId="0" applyFont="1" applyBorder="1" applyAlignment="1">
      <alignment horizontal="center" vertical="top" wrapText="1"/>
    </xf>
    <xf numFmtId="0" fontId="32" fillId="0" borderId="15" xfId="0" applyFont="1" applyBorder="1" applyAlignment="1">
      <alignment horizontal="center" vertical="top" wrapText="1"/>
    </xf>
    <xf numFmtId="0" fontId="32" fillId="0" borderId="11" xfId="0" applyFont="1" applyBorder="1" applyAlignment="1">
      <alignment horizontal="center" vertical="top" wrapText="1"/>
    </xf>
    <xf numFmtId="0" fontId="32" fillId="0" borderId="14" xfId="0" applyFont="1" applyBorder="1" applyAlignment="1">
      <alignment horizontal="center" vertical="top" wrapText="1"/>
    </xf>
    <xf numFmtId="0" fontId="32" fillId="0" borderId="1" xfId="0" applyFont="1" applyBorder="1" applyAlignment="1">
      <alignment horizontal="left" vertical="top" wrapText="1"/>
    </xf>
    <xf numFmtId="0" fontId="32" fillId="0" borderId="5" xfId="0" applyFont="1" applyBorder="1" applyAlignment="1">
      <alignment horizontal="center" vertical="top" wrapText="1"/>
    </xf>
    <xf numFmtId="0" fontId="32" fillId="0" borderId="6" xfId="0" applyFont="1" applyBorder="1" applyAlignment="1">
      <alignment horizontal="center" vertical="top" wrapText="1"/>
    </xf>
    <xf numFmtId="0" fontId="32" fillId="0" borderId="1" xfId="0" applyFont="1" applyBorder="1" applyAlignment="1">
      <alignment vertical="top" wrapText="1"/>
    </xf>
    <xf numFmtId="0" fontId="32" fillId="0" borderId="5" xfId="0" applyFont="1" applyBorder="1" applyAlignment="1">
      <alignment vertical="top" wrapText="1"/>
    </xf>
    <xf numFmtId="0" fontId="32" fillId="0" borderId="13" xfId="0" applyFont="1" applyBorder="1" applyAlignment="1">
      <alignment vertical="top" wrapText="1"/>
    </xf>
    <xf numFmtId="0" fontId="32" fillId="0" borderId="6" xfId="0" applyFont="1" applyBorder="1" applyAlignment="1">
      <alignment vertical="top" wrapText="1"/>
    </xf>
    <xf numFmtId="0" fontId="37" fillId="0" borderId="1" xfId="0" applyFont="1" applyBorder="1" applyAlignment="1">
      <alignment horizontal="center" vertical="center" wrapText="1"/>
    </xf>
    <xf numFmtId="0" fontId="37" fillId="0" borderId="5" xfId="0" applyFont="1" applyBorder="1" applyAlignment="1">
      <alignment horizontal="left" vertical="top" wrapText="1"/>
    </xf>
    <xf numFmtId="0" fontId="32" fillId="0" borderId="13" xfId="0" applyFont="1" applyBorder="1" applyAlignment="1">
      <alignment horizontal="left" vertical="top" wrapText="1"/>
    </xf>
    <xf numFmtId="0" fontId="32" fillId="0" borderId="6" xfId="0" applyFont="1" applyBorder="1" applyAlignment="1">
      <alignment horizontal="left" vertical="top" wrapText="1"/>
    </xf>
    <xf numFmtId="0" fontId="37" fillId="0" borderId="5" xfId="0" applyFont="1" applyBorder="1" applyAlignment="1">
      <alignment vertical="top" wrapText="1"/>
    </xf>
    <xf numFmtId="0" fontId="37" fillId="0" borderId="4" xfId="0" applyFont="1" applyBorder="1" applyAlignment="1">
      <alignment horizontal="center" vertical="top" wrapText="1"/>
    </xf>
    <xf numFmtId="0" fontId="32" fillId="0" borderId="4" xfId="0" applyFont="1" applyBorder="1" applyAlignment="1">
      <alignment horizontal="center" vertical="top" wrapText="1"/>
    </xf>
    <xf numFmtId="0" fontId="37" fillId="0" borderId="2" xfId="0" applyFont="1" applyBorder="1" applyAlignment="1">
      <alignment horizontal="center" vertical="top" wrapText="1"/>
    </xf>
    <xf numFmtId="0" fontId="32" fillId="0" borderId="2" xfId="0" applyFont="1" applyBorder="1" applyAlignment="1">
      <alignment horizontal="center" vertical="top" wrapText="1"/>
    </xf>
    <xf numFmtId="0" fontId="30" fillId="0" borderId="4" xfId="0" applyFont="1" applyBorder="1" applyAlignment="1">
      <alignment vertical="top" wrapText="1"/>
    </xf>
    <xf numFmtId="0" fontId="30" fillId="0" borderId="11" xfId="0" applyFont="1" applyBorder="1" applyAlignment="1">
      <alignment vertical="top" wrapText="1"/>
    </xf>
    <xf numFmtId="0" fontId="30" fillId="11" borderId="4" xfId="0" applyFont="1" applyFill="1" applyBorder="1" applyAlignment="1">
      <alignment horizontal="center" vertical="center" wrapText="1"/>
    </xf>
    <xf numFmtId="0" fontId="30" fillId="11" borderId="1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11" borderId="5" xfId="0" applyFont="1" applyFill="1" applyBorder="1" applyAlignment="1">
      <alignment horizontal="center" vertical="center" wrapText="1"/>
    </xf>
    <xf numFmtId="0" fontId="30" fillId="10" borderId="18" xfId="0" applyFont="1" applyFill="1" applyBorder="1" applyAlignment="1">
      <alignment horizontal="center" vertical="center" wrapText="1"/>
    </xf>
    <xf numFmtId="0" fontId="30" fillId="11" borderId="14" xfId="0" applyFont="1" applyFill="1" applyBorder="1" applyAlignment="1">
      <alignment horizontal="center" vertical="center" wrapText="1"/>
    </xf>
    <xf numFmtId="0" fontId="30" fillId="11" borderId="6" xfId="0" applyFont="1" applyFill="1" applyBorder="1" applyAlignment="1">
      <alignment horizontal="center" vertical="center" wrapText="1"/>
    </xf>
    <xf numFmtId="0" fontId="30" fillId="11" borderId="18" xfId="0" applyFont="1" applyFill="1" applyBorder="1" applyAlignment="1">
      <alignment horizontal="center" vertical="center" wrapText="1"/>
    </xf>
    <xf numFmtId="0" fontId="33" fillId="10" borderId="18" xfId="0" applyFont="1" applyFill="1" applyBorder="1" applyAlignment="1">
      <alignment horizontal="center" vertical="center" wrapText="1"/>
    </xf>
    <xf numFmtId="0" fontId="34" fillId="10" borderId="18" xfId="0" applyFont="1" applyFill="1" applyBorder="1" applyAlignment="1">
      <alignment horizontal="center" vertical="center" wrapText="1"/>
    </xf>
    <xf numFmtId="0" fontId="37" fillId="0" borderId="1" xfId="0" applyFont="1" applyBorder="1" applyAlignment="1">
      <alignment horizontal="center" vertical="top" wrapText="1"/>
    </xf>
    <xf numFmtId="0" fontId="32" fillId="0" borderId="1" xfId="0" applyFont="1" applyBorder="1" applyAlignment="1">
      <alignment horizontal="center" vertical="top" wrapText="1"/>
    </xf>
    <xf numFmtId="0" fontId="32" fillId="0" borderId="2" xfId="0" applyFont="1" applyBorder="1" applyAlignment="1">
      <alignment vertical="top" wrapText="1"/>
    </xf>
    <xf numFmtId="0" fontId="35" fillId="10" borderId="18" xfId="0" applyFont="1" applyFill="1" applyBorder="1" applyAlignment="1">
      <alignment horizontal="center" vertical="center" wrapText="1"/>
    </xf>
    <xf numFmtId="0" fontId="32" fillId="11" borderId="18" xfId="0" applyFont="1" applyFill="1" applyBorder="1" applyAlignment="1">
      <alignment horizontal="center" vertical="center" wrapText="1"/>
    </xf>
    <xf numFmtId="0" fontId="23" fillId="0" borderId="1" xfId="0" applyFont="1" applyBorder="1" applyAlignment="1">
      <alignment horizontal="center" vertical="top" wrapText="1"/>
    </xf>
    <xf numFmtId="0" fontId="32" fillId="12" borderId="6" xfId="0" applyFont="1" applyFill="1" applyBorder="1" applyAlignment="1">
      <alignment horizontal="center" vertical="center" wrapText="1"/>
    </xf>
    <xf numFmtId="0" fontId="32" fillId="12" borderId="1" xfId="0" applyFont="1" applyFill="1" applyBorder="1" applyAlignment="1">
      <alignment horizontal="center" vertical="center" wrapText="1"/>
    </xf>
    <xf numFmtId="0" fontId="32" fillId="11" borderId="19" xfId="0" applyFont="1" applyFill="1" applyBorder="1" applyAlignment="1">
      <alignment horizontal="center" vertical="center" wrapText="1"/>
    </xf>
    <xf numFmtId="0" fontId="32" fillId="11" borderId="20" xfId="0" applyFont="1" applyFill="1" applyBorder="1" applyAlignment="1">
      <alignment horizontal="center" vertical="center" wrapText="1"/>
    </xf>
    <xf numFmtId="0" fontId="32" fillId="11" borderId="2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3" borderId="5" xfId="0" applyFont="1" applyFill="1" applyBorder="1" applyAlignment="1">
      <alignment horizontal="center" vertical="center" wrapText="1"/>
    </xf>
    <xf numFmtId="0" fontId="32" fillId="12" borderId="22" xfId="0" applyFont="1" applyFill="1" applyBorder="1" applyAlignment="1">
      <alignment horizontal="center" vertical="center" wrapText="1"/>
    </xf>
    <xf numFmtId="0" fontId="32" fillId="12" borderId="13" xfId="0" applyFont="1" applyFill="1" applyBorder="1" applyAlignment="1">
      <alignment horizontal="center" vertical="center" wrapText="1"/>
    </xf>
    <xf numFmtId="0" fontId="31" fillId="14" borderId="4" xfId="0" applyFont="1" applyFill="1" applyBorder="1" applyAlignment="1">
      <alignment vertical="top" wrapText="1"/>
    </xf>
    <xf numFmtId="0" fontId="31" fillId="14" borderId="1" xfId="0" applyFont="1" applyFill="1" applyBorder="1" applyAlignment="1">
      <alignment vertical="top" wrapText="1"/>
    </xf>
    <xf numFmtId="0" fontId="32" fillId="0" borderId="4" xfId="0" applyFont="1" applyBorder="1" applyAlignment="1">
      <alignment vertical="top" wrapText="1"/>
    </xf>
    <xf numFmtId="0" fontId="32" fillId="0" borderId="11" xfId="0" applyFont="1" applyBorder="1" applyAlignment="1">
      <alignment horizontal="left" vertical="top" wrapText="1" indent="5"/>
    </xf>
    <xf numFmtId="0" fontId="32" fillId="0" borderId="12" xfId="0" applyFont="1" applyBorder="1" applyAlignment="1">
      <alignment horizontal="left" vertical="top" wrapText="1" indent="5"/>
    </xf>
    <xf numFmtId="0" fontId="32" fillId="0" borderId="23" xfId="0" applyFont="1" applyBorder="1" applyAlignment="1">
      <alignment horizontal="left" vertical="top" wrapText="1" indent="5"/>
    </xf>
    <xf numFmtId="0" fontId="32" fillId="0" borderId="1" xfId="0" applyFont="1" applyBorder="1" applyAlignment="1">
      <alignment horizontal="left" vertical="top" wrapText="1" indent="5"/>
    </xf>
    <xf numFmtId="0" fontId="36" fillId="0" borderId="24" xfId="0" applyFont="1" applyBorder="1" applyAlignment="1">
      <alignment vertical="top" wrapText="1"/>
    </xf>
    <xf numFmtId="0" fontId="36" fillId="0" borderId="0" xfId="0" applyFont="1" applyAlignment="1">
      <alignment vertical="top" wrapText="1"/>
    </xf>
    <xf numFmtId="0" fontId="36" fillId="0" borderId="17" xfId="0" applyFont="1" applyBorder="1" applyAlignment="1">
      <alignment vertical="top" wrapText="1"/>
    </xf>
    <xf numFmtId="0" fontId="34" fillId="8" borderId="18" xfId="0" applyFont="1" applyFill="1" applyBorder="1" applyAlignment="1">
      <alignment horizontal="center" vertical="center" wrapText="1"/>
    </xf>
    <xf numFmtId="10" fontId="32" fillId="0" borderId="1" xfId="0" applyNumberFormat="1" applyFont="1" applyBorder="1" applyAlignment="1">
      <alignment horizontal="center" vertical="top" wrapText="1"/>
    </xf>
    <xf numFmtId="0" fontId="32" fillId="0" borderId="18" xfId="0" applyFont="1" applyBorder="1" applyAlignment="1">
      <alignment vertical="top" wrapText="1"/>
    </xf>
    <xf numFmtId="0" fontId="32" fillId="0" borderId="18" xfId="0" applyFont="1" applyBorder="1" applyAlignment="1">
      <alignment horizontal="center" vertical="top" wrapText="1"/>
    </xf>
    <xf numFmtId="0" fontId="23" fillId="0" borderId="18" xfId="0" applyFont="1" applyBorder="1" applyAlignment="1">
      <alignment horizontal="center" vertical="top" wrapText="1"/>
    </xf>
    <xf numFmtId="0" fontId="32" fillId="0" borderId="19" xfId="0" applyFont="1" applyBorder="1" applyAlignment="1">
      <alignment vertical="top" wrapText="1"/>
    </xf>
    <xf numFmtId="0" fontId="32" fillId="0" borderId="20" xfId="0" applyFont="1" applyBorder="1" applyAlignment="1">
      <alignment vertical="top" wrapText="1"/>
    </xf>
    <xf numFmtId="0" fontId="32" fillId="0" borderId="21" xfId="0" applyFont="1" applyBorder="1" applyAlignment="1">
      <alignment vertical="top"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29" fillId="0" borderId="2" xfId="0" applyFont="1" applyBorder="1" applyAlignment="1">
      <alignment horizontal="center" vertical="center" wrapText="1"/>
    </xf>
    <xf numFmtId="0" fontId="29"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vertical="top" wrapTex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EKI SATRIA" id="{DD3CD03D-2945-4C93-B638-968FE02D7AC5}" userId="S::dekisatria@telkomuniversity.ac.id::c91b6682-da9b-4d03-9e7c-29f2dfeb1f2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4-07-09T08:37:00.10" personId="{DD3CD03D-2945-4C93-B638-968FE02D7AC5}" id="{791F090A-BFB4-4E83-B353-B370ECF90855}">
    <text>bukti dari logbook pekerjaan</text>
  </threadedComment>
  <threadedComment ref="H11" dT="2024-07-09T08:18:25.91" personId="{DD3CD03D-2945-4C93-B638-968FE02D7AC5}" id="{1542E595-7B94-4322-BA7E-FCECF1671F6D}">
    <text>dibuktikan dengan log pekerjaan</text>
  </threadedComment>
  <threadedComment ref="C15" dT="2024-07-09T10:40:23.82" personId="{DD3CD03D-2945-4C93-B638-968FE02D7AC5}" id="{693B42D0-F88E-47FB-9B00-C56C5F2B262D}">
    <text xml:space="preserve">sarat pendaftaran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C4BA-3B05-420F-9AF6-376451CB0439}">
  <dimension ref="A1:U75"/>
  <sheetViews>
    <sheetView tabSelected="1" topLeftCell="A43" workbookViewId="0">
      <selection activeCell="O75" sqref="O75:Q75"/>
    </sheetView>
  </sheetViews>
  <sheetFormatPr defaultColWidth="9.140625" defaultRowHeight="15"/>
  <cols>
    <col min="1" max="1" width="7.42578125" style="11" bestFit="1" customWidth="1"/>
    <col min="2" max="2" width="14.7109375" style="11" customWidth="1"/>
    <col min="3" max="3" width="24.42578125" style="11" customWidth="1"/>
    <col min="4" max="4" width="5.140625" style="11" customWidth="1"/>
    <col min="5" max="5" width="6.42578125" style="11" customWidth="1"/>
    <col min="6" max="6" width="4.5703125" style="11" customWidth="1"/>
    <col min="7" max="7" width="2.85546875" style="11" customWidth="1"/>
    <col min="8" max="8" width="26.28515625" style="11" customWidth="1"/>
    <col min="9" max="9" width="3.140625" style="11" customWidth="1"/>
    <col min="10" max="10" width="6.5703125" style="11" customWidth="1"/>
    <col min="11" max="11" width="4" style="11" customWidth="1"/>
    <col min="12" max="12" width="7.140625" style="11" customWidth="1"/>
    <col min="13" max="13" width="6.7109375" style="11" customWidth="1"/>
    <col min="14" max="14" width="17" style="11" customWidth="1"/>
    <col min="15" max="15" width="7.140625" style="11" customWidth="1"/>
    <col min="16" max="16" width="4.7109375" style="11" customWidth="1"/>
    <col min="17" max="17" width="5.5703125" style="11" customWidth="1"/>
    <col min="18" max="18" width="9.42578125" style="11" customWidth="1"/>
    <col min="19" max="19" width="7" style="11" customWidth="1"/>
    <col min="20" max="20" width="8.140625" style="11" customWidth="1"/>
    <col min="21" max="21" width="11.42578125" style="11" customWidth="1"/>
    <col min="22" max="16384" width="9.140625" style="11"/>
  </cols>
  <sheetData>
    <row r="1" spans="1:21" ht="15" customHeight="1">
      <c r="A1" s="59" t="e" vm="1">
        <v>#VALUE!</v>
      </c>
      <c r="B1" s="59"/>
      <c r="C1" s="59" t="s">
        <v>0</v>
      </c>
      <c r="D1" s="59"/>
      <c r="E1" s="59"/>
      <c r="F1" s="59"/>
      <c r="G1" s="59"/>
      <c r="H1" s="59"/>
      <c r="I1" s="59"/>
      <c r="J1" s="59"/>
      <c r="K1" s="59"/>
      <c r="L1" s="59"/>
      <c r="M1" s="59"/>
      <c r="N1" s="59"/>
      <c r="O1" s="59"/>
      <c r="P1" s="59"/>
      <c r="Q1" s="59"/>
      <c r="R1" s="59"/>
      <c r="S1" s="59"/>
      <c r="T1" s="59"/>
      <c r="U1" s="59"/>
    </row>
    <row r="2" spans="1:21" ht="15" customHeight="1">
      <c r="A2" s="59"/>
      <c r="B2" s="59"/>
      <c r="C2" s="60" t="s">
        <v>1</v>
      </c>
      <c r="D2" s="59"/>
      <c r="E2" s="59"/>
      <c r="F2" s="59"/>
      <c r="G2" s="59"/>
      <c r="H2" s="59"/>
      <c r="I2" s="59"/>
      <c r="J2" s="59"/>
      <c r="K2" s="59"/>
      <c r="L2" s="59"/>
      <c r="M2" s="59"/>
      <c r="N2" s="59"/>
      <c r="O2" s="59"/>
      <c r="P2" s="59"/>
      <c r="Q2" s="59"/>
      <c r="R2" s="59"/>
      <c r="S2" s="59"/>
      <c r="T2" s="59"/>
      <c r="U2" s="59"/>
    </row>
    <row r="3" spans="1:21" ht="15" customHeight="1">
      <c r="A3" s="59"/>
      <c r="B3" s="59"/>
      <c r="C3" s="60" t="s">
        <v>2</v>
      </c>
      <c r="D3" s="59"/>
      <c r="E3" s="59"/>
      <c r="F3" s="59"/>
      <c r="G3" s="59"/>
      <c r="H3" s="59"/>
      <c r="I3" s="59"/>
      <c r="J3" s="59"/>
      <c r="K3" s="59"/>
      <c r="L3" s="59"/>
      <c r="M3" s="59"/>
      <c r="N3" s="59"/>
      <c r="O3" s="59"/>
      <c r="P3" s="59"/>
      <c r="Q3" s="59"/>
      <c r="R3" s="59"/>
      <c r="S3" s="59"/>
      <c r="T3" s="59"/>
      <c r="U3" s="59"/>
    </row>
    <row r="4" spans="1:21" ht="15" customHeight="1">
      <c r="A4" s="61" t="s">
        <v>3</v>
      </c>
      <c r="B4" s="61"/>
      <c r="C4" s="52" t="s">
        <v>4</v>
      </c>
      <c r="D4" s="63" t="s">
        <v>5</v>
      </c>
      <c r="E4" s="63"/>
      <c r="F4" s="63"/>
      <c r="G4" s="64" t="s">
        <v>6</v>
      </c>
      <c r="H4" s="65"/>
      <c r="I4" s="66" t="s">
        <v>7</v>
      </c>
      <c r="J4" s="67"/>
      <c r="K4" s="68"/>
      <c r="L4" s="69" t="s">
        <v>8</v>
      </c>
      <c r="M4" s="69"/>
      <c r="N4" s="69"/>
      <c r="O4" s="69"/>
      <c r="P4" s="69"/>
      <c r="Q4" s="69" t="s">
        <v>9</v>
      </c>
      <c r="R4" s="69"/>
      <c r="S4" s="69"/>
      <c r="T4" s="69" t="s">
        <v>10</v>
      </c>
      <c r="U4" s="69"/>
    </row>
    <row r="5" spans="1:21" ht="15" customHeight="1">
      <c r="A5" s="61"/>
      <c r="B5" s="61"/>
      <c r="C5" s="87" t="s">
        <v>11</v>
      </c>
      <c r="D5" s="87" t="s">
        <v>12</v>
      </c>
      <c r="E5" s="87"/>
      <c r="F5" s="87"/>
      <c r="G5" s="76" t="s">
        <v>13</v>
      </c>
      <c r="H5" s="77"/>
      <c r="I5" s="76" t="s">
        <v>14</v>
      </c>
      <c r="J5" s="77"/>
      <c r="K5" s="77"/>
      <c r="L5" s="88" t="s">
        <v>15</v>
      </c>
      <c r="M5" s="88"/>
      <c r="N5" s="89" t="s">
        <v>14</v>
      </c>
      <c r="O5" s="88"/>
      <c r="P5" s="88"/>
      <c r="Q5" s="86" t="s">
        <v>16</v>
      </c>
      <c r="R5" s="87"/>
      <c r="S5" s="87"/>
      <c r="T5" s="90" t="s">
        <v>14</v>
      </c>
      <c r="U5" s="87"/>
    </row>
    <row r="6" spans="1:21">
      <c r="A6" s="61"/>
      <c r="B6" s="61"/>
      <c r="C6" s="87"/>
      <c r="D6" s="87"/>
      <c r="E6" s="87"/>
      <c r="F6" s="87"/>
      <c r="G6" s="78"/>
      <c r="H6" s="79"/>
      <c r="I6" s="78"/>
      <c r="J6" s="79"/>
      <c r="K6" s="79"/>
      <c r="L6" s="88"/>
      <c r="M6" s="88"/>
      <c r="N6" s="89"/>
      <c r="O6" s="88"/>
      <c r="P6" s="88"/>
      <c r="Q6" s="86"/>
      <c r="R6" s="87"/>
      <c r="S6" s="87"/>
      <c r="T6" s="87"/>
      <c r="U6" s="87"/>
    </row>
    <row r="7" spans="1:21" ht="15" customHeight="1">
      <c r="A7" s="62"/>
      <c r="B7" s="62"/>
      <c r="C7" s="87"/>
      <c r="D7" s="87"/>
      <c r="E7" s="87"/>
      <c r="F7" s="87"/>
      <c r="G7" s="80"/>
      <c r="H7" s="81"/>
      <c r="I7" s="80"/>
      <c r="J7" s="81"/>
      <c r="K7" s="81"/>
      <c r="L7" s="88"/>
      <c r="M7" s="88"/>
      <c r="N7" s="89"/>
      <c r="O7" s="88"/>
      <c r="P7" s="88"/>
      <c r="Q7" s="86"/>
      <c r="R7" s="87"/>
      <c r="S7" s="87"/>
      <c r="T7" s="87"/>
      <c r="U7" s="87"/>
    </row>
    <row r="8" spans="1:21" ht="15" customHeight="1">
      <c r="A8" s="61" t="s">
        <v>17</v>
      </c>
      <c r="B8" s="61"/>
      <c r="C8" s="70" t="s">
        <v>18</v>
      </c>
      <c r="D8" s="71"/>
      <c r="E8" s="71"/>
      <c r="F8" s="71"/>
      <c r="G8" s="71"/>
      <c r="H8" s="71"/>
      <c r="I8" s="72" t="s">
        <v>19</v>
      </c>
      <c r="J8" s="73"/>
      <c r="K8" s="73"/>
      <c r="L8" s="73"/>
      <c r="M8" s="73"/>
      <c r="N8" s="73"/>
      <c r="O8" s="73"/>
      <c r="P8" s="74"/>
      <c r="Q8" s="74" t="s">
        <v>20</v>
      </c>
      <c r="R8" s="75"/>
      <c r="S8" s="75"/>
      <c r="T8" s="75"/>
      <c r="U8" s="75"/>
    </row>
    <row r="9" spans="1:21" ht="15" customHeight="1">
      <c r="A9" s="61"/>
      <c r="B9" s="61"/>
      <c r="C9" s="76" t="s">
        <v>21</v>
      </c>
      <c r="D9" s="77"/>
      <c r="E9" s="77"/>
      <c r="F9" s="77"/>
      <c r="G9" s="77"/>
      <c r="H9" s="77"/>
      <c r="I9" s="76" t="s">
        <v>22</v>
      </c>
      <c r="J9" s="77"/>
      <c r="K9" s="77"/>
      <c r="L9" s="77"/>
      <c r="M9" s="77"/>
      <c r="N9" s="77"/>
      <c r="O9" s="77"/>
      <c r="P9" s="82"/>
      <c r="Q9" s="84" t="s">
        <v>23</v>
      </c>
      <c r="R9" s="85"/>
      <c r="S9" s="85"/>
      <c r="T9" s="85"/>
      <c r="U9" s="85"/>
    </row>
    <row r="10" spans="1:21">
      <c r="A10" s="61"/>
      <c r="B10" s="61"/>
      <c r="C10" s="78"/>
      <c r="D10" s="79"/>
      <c r="E10" s="79"/>
      <c r="F10" s="79"/>
      <c r="G10" s="79"/>
      <c r="H10" s="79"/>
      <c r="I10" s="78"/>
      <c r="J10" s="79"/>
      <c r="K10" s="79"/>
      <c r="L10" s="79"/>
      <c r="M10" s="79"/>
      <c r="N10" s="79"/>
      <c r="O10" s="79"/>
      <c r="P10" s="83"/>
      <c r="Q10" s="86"/>
      <c r="R10" s="87"/>
      <c r="S10" s="87"/>
      <c r="T10" s="87"/>
      <c r="U10" s="87"/>
    </row>
    <row r="11" spans="1:21">
      <c r="A11" s="61"/>
      <c r="B11" s="61"/>
      <c r="C11" s="78"/>
      <c r="D11" s="79"/>
      <c r="E11" s="79"/>
      <c r="F11" s="79"/>
      <c r="G11" s="79"/>
      <c r="H11" s="79"/>
      <c r="I11" s="78"/>
      <c r="J11" s="79"/>
      <c r="K11" s="79"/>
      <c r="L11" s="79"/>
      <c r="M11" s="79"/>
      <c r="N11" s="79"/>
      <c r="O11" s="79"/>
      <c r="P11" s="83"/>
      <c r="Q11" s="86"/>
      <c r="R11" s="87"/>
      <c r="S11" s="87"/>
      <c r="T11" s="87"/>
      <c r="U11" s="87"/>
    </row>
    <row r="12" spans="1:21">
      <c r="A12" s="62"/>
      <c r="B12" s="62"/>
      <c r="C12" s="80"/>
      <c r="D12" s="81"/>
      <c r="E12" s="81"/>
      <c r="F12" s="81"/>
      <c r="G12" s="81"/>
      <c r="H12" s="81"/>
      <c r="I12" s="80"/>
      <c r="J12" s="81"/>
      <c r="K12" s="81"/>
      <c r="L12" s="81"/>
      <c r="M12" s="81"/>
      <c r="N12" s="81"/>
      <c r="O12" s="81"/>
      <c r="P12" s="84"/>
      <c r="Q12" s="86"/>
      <c r="R12" s="87"/>
      <c r="S12" s="87"/>
      <c r="T12" s="87"/>
      <c r="U12" s="87"/>
    </row>
    <row r="13" spans="1:21" ht="15" customHeight="1">
      <c r="A13" s="61" t="s">
        <v>24</v>
      </c>
      <c r="B13" s="61"/>
      <c r="C13" s="91" t="s">
        <v>25</v>
      </c>
      <c r="D13" s="91"/>
      <c r="E13" s="91"/>
      <c r="F13" s="91"/>
      <c r="G13" s="91"/>
      <c r="H13" s="91"/>
      <c r="I13" s="92"/>
      <c r="J13" s="92"/>
      <c r="K13" s="92"/>
      <c r="L13" s="92"/>
      <c r="M13" s="92"/>
      <c r="N13" s="92"/>
      <c r="O13" s="92"/>
      <c r="P13" s="92"/>
      <c r="Q13" s="91"/>
      <c r="R13" s="91"/>
      <c r="S13" s="91"/>
      <c r="T13" s="91"/>
      <c r="U13" s="93"/>
    </row>
    <row r="14" spans="1:21">
      <c r="A14" s="61"/>
      <c r="B14" s="61"/>
      <c r="C14" s="92"/>
      <c r="D14" s="92"/>
      <c r="E14" s="92"/>
      <c r="F14" s="92"/>
      <c r="G14" s="92"/>
      <c r="H14" s="92"/>
      <c r="I14" s="92"/>
      <c r="J14" s="92"/>
      <c r="K14" s="92"/>
      <c r="L14" s="92"/>
      <c r="M14" s="92"/>
      <c r="N14" s="92"/>
      <c r="O14" s="92"/>
      <c r="P14" s="92"/>
      <c r="Q14" s="92"/>
      <c r="R14" s="92"/>
      <c r="S14" s="92"/>
      <c r="T14" s="92"/>
      <c r="U14" s="94"/>
    </row>
    <row r="15" spans="1:21">
      <c r="A15" s="62"/>
      <c r="B15" s="62"/>
      <c r="C15" s="92"/>
      <c r="D15" s="92"/>
      <c r="E15" s="92"/>
      <c r="F15" s="92"/>
      <c r="G15" s="92"/>
      <c r="H15" s="92"/>
      <c r="I15" s="92"/>
      <c r="J15" s="92"/>
      <c r="K15" s="92"/>
      <c r="L15" s="92"/>
      <c r="M15" s="92"/>
      <c r="N15" s="92"/>
      <c r="O15" s="92"/>
      <c r="P15" s="92"/>
      <c r="Q15" s="92"/>
      <c r="R15" s="92"/>
      <c r="S15" s="92"/>
      <c r="T15" s="92"/>
      <c r="U15" s="94"/>
    </row>
    <row r="16" spans="1:21">
      <c r="A16" s="61" t="s">
        <v>26</v>
      </c>
      <c r="B16" s="61"/>
      <c r="C16" s="96" t="s">
        <v>27</v>
      </c>
      <c r="D16" s="96"/>
      <c r="E16" s="96"/>
      <c r="F16" s="96"/>
      <c r="G16" s="96"/>
      <c r="H16" s="96"/>
      <c r="I16" s="96"/>
      <c r="J16" s="96"/>
      <c r="K16" s="96"/>
      <c r="L16" s="96"/>
      <c r="M16" s="96"/>
      <c r="N16" s="96"/>
      <c r="O16" s="96"/>
      <c r="P16" s="96"/>
      <c r="Q16" s="96"/>
      <c r="R16" s="96"/>
      <c r="S16" s="96"/>
      <c r="T16" s="96"/>
      <c r="U16" s="96"/>
    </row>
    <row r="17" spans="1:21" ht="15" customHeight="1">
      <c r="A17" s="61"/>
      <c r="B17" s="61"/>
      <c r="C17" s="97" t="s">
        <v>28</v>
      </c>
      <c r="D17" s="98"/>
      <c r="E17" s="103" t="s">
        <v>29</v>
      </c>
      <c r="F17" s="103"/>
      <c r="G17" s="103"/>
      <c r="H17" s="103"/>
      <c r="I17" s="103"/>
      <c r="J17" s="103"/>
      <c r="K17" s="103"/>
      <c r="L17" s="103"/>
      <c r="M17" s="103"/>
      <c r="N17" s="103"/>
      <c r="O17" s="103"/>
      <c r="P17" s="103"/>
      <c r="Q17" s="103"/>
      <c r="R17" s="103"/>
      <c r="S17" s="103"/>
      <c r="T17" s="103"/>
      <c r="U17" s="103"/>
    </row>
    <row r="18" spans="1:21" ht="15" customHeight="1">
      <c r="A18" s="61"/>
      <c r="B18" s="61"/>
      <c r="C18" s="99"/>
      <c r="D18" s="100"/>
      <c r="E18" s="103"/>
      <c r="F18" s="103"/>
      <c r="G18" s="103"/>
      <c r="H18" s="103"/>
      <c r="I18" s="103"/>
      <c r="J18" s="103"/>
      <c r="K18" s="103"/>
      <c r="L18" s="103"/>
      <c r="M18" s="103"/>
      <c r="N18" s="103"/>
      <c r="O18" s="103"/>
      <c r="P18" s="103"/>
      <c r="Q18" s="103"/>
      <c r="R18" s="103"/>
      <c r="S18" s="103"/>
      <c r="T18" s="103"/>
      <c r="U18" s="103"/>
    </row>
    <row r="19" spans="1:21">
      <c r="A19" s="61"/>
      <c r="B19" s="61"/>
      <c r="C19" s="101"/>
      <c r="D19" s="102"/>
      <c r="E19" s="103"/>
      <c r="F19" s="103"/>
      <c r="G19" s="103"/>
      <c r="H19" s="103"/>
      <c r="I19" s="103"/>
      <c r="J19" s="103"/>
      <c r="K19" s="103"/>
      <c r="L19" s="103"/>
      <c r="M19" s="103"/>
      <c r="N19" s="103"/>
      <c r="O19" s="103"/>
      <c r="P19" s="103"/>
      <c r="Q19" s="103"/>
      <c r="R19" s="103"/>
      <c r="S19" s="103"/>
      <c r="T19" s="103"/>
      <c r="U19" s="103"/>
    </row>
    <row r="20" spans="1:21" ht="15" customHeight="1">
      <c r="A20" s="61"/>
      <c r="B20" s="61"/>
      <c r="C20" s="104" t="s">
        <v>30</v>
      </c>
      <c r="D20" s="105"/>
      <c r="E20" s="106" t="s">
        <v>31</v>
      </c>
      <c r="F20" s="106"/>
      <c r="G20" s="106"/>
      <c r="H20" s="106"/>
      <c r="I20" s="106"/>
      <c r="J20" s="106"/>
      <c r="K20" s="106"/>
      <c r="L20" s="106"/>
      <c r="M20" s="106"/>
      <c r="N20" s="106"/>
      <c r="O20" s="106"/>
      <c r="P20" s="106"/>
      <c r="Q20" s="106"/>
      <c r="R20" s="106"/>
      <c r="S20" s="106"/>
      <c r="T20" s="106"/>
      <c r="U20" s="106"/>
    </row>
    <row r="21" spans="1:21" ht="15" customHeight="1">
      <c r="A21" s="61"/>
      <c r="B21" s="61"/>
      <c r="C21" s="104" t="s">
        <v>32</v>
      </c>
      <c r="D21" s="105"/>
      <c r="E21" s="107" t="s">
        <v>33</v>
      </c>
      <c r="F21" s="108"/>
      <c r="G21" s="108"/>
      <c r="H21" s="108"/>
      <c r="I21" s="108"/>
      <c r="J21" s="108"/>
      <c r="K21" s="108"/>
      <c r="L21" s="108"/>
      <c r="M21" s="108"/>
      <c r="N21" s="108"/>
      <c r="O21" s="108"/>
      <c r="P21" s="108"/>
      <c r="Q21" s="108"/>
      <c r="R21" s="108"/>
      <c r="S21" s="108"/>
      <c r="T21" s="108"/>
      <c r="U21" s="109"/>
    </row>
    <row r="22" spans="1:21" ht="15" customHeight="1">
      <c r="A22" s="61"/>
      <c r="B22" s="61"/>
      <c r="C22" s="104" t="s">
        <v>34</v>
      </c>
      <c r="D22" s="105"/>
      <c r="E22" s="107" t="s">
        <v>35</v>
      </c>
      <c r="F22" s="108"/>
      <c r="G22" s="108"/>
      <c r="H22" s="108"/>
      <c r="I22" s="108"/>
      <c r="J22" s="108"/>
      <c r="K22" s="108"/>
      <c r="L22" s="108"/>
      <c r="M22" s="108"/>
      <c r="N22" s="108"/>
      <c r="O22" s="108"/>
      <c r="P22" s="108"/>
      <c r="Q22" s="108"/>
      <c r="R22" s="108"/>
      <c r="S22" s="108"/>
      <c r="T22" s="108"/>
      <c r="U22" s="109"/>
    </row>
    <row r="23" spans="1:21" ht="15" customHeight="1">
      <c r="A23" s="61"/>
      <c r="B23" s="61"/>
      <c r="C23" s="104" t="s">
        <v>36</v>
      </c>
      <c r="D23" s="105"/>
      <c r="E23" s="111" t="s">
        <v>37</v>
      </c>
      <c r="F23" s="112"/>
      <c r="G23" s="112"/>
      <c r="H23" s="112"/>
      <c r="I23" s="112"/>
      <c r="J23" s="112"/>
      <c r="K23" s="112"/>
      <c r="L23" s="112"/>
      <c r="M23" s="112"/>
      <c r="N23" s="112"/>
      <c r="O23" s="112"/>
      <c r="P23" s="112"/>
      <c r="Q23" s="112"/>
      <c r="R23" s="112"/>
      <c r="S23" s="112"/>
      <c r="T23" s="112"/>
      <c r="U23" s="113"/>
    </row>
    <row r="24" spans="1:21" ht="15" customHeight="1">
      <c r="A24" s="61"/>
      <c r="B24" s="61"/>
      <c r="C24" s="104" t="s">
        <v>38</v>
      </c>
      <c r="D24" s="105"/>
      <c r="E24" s="114" t="s">
        <v>39</v>
      </c>
      <c r="F24" s="108"/>
      <c r="G24" s="108"/>
      <c r="H24" s="108"/>
      <c r="I24" s="108"/>
      <c r="J24" s="108"/>
      <c r="K24" s="108"/>
      <c r="L24" s="108"/>
      <c r="M24" s="108"/>
      <c r="N24" s="108"/>
      <c r="O24" s="108"/>
      <c r="P24" s="108"/>
      <c r="Q24" s="108"/>
      <c r="R24" s="108"/>
      <c r="S24" s="108"/>
      <c r="T24" s="108"/>
      <c r="U24" s="109"/>
    </row>
    <row r="25" spans="1:21">
      <c r="A25" s="61"/>
      <c r="B25" s="61"/>
      <c r="C25" s="96" t="s">
        <v>40</v>
      </c>
      <c r="D25" s="96"/>
      <c r="E25" s="96"/>
      <c r="F25" s="96"/>
      <c r="G25" s="96"/>
      <c r="H25" s="96"/>
      <c r="I25" s="96"/>
      <c r="J25" s="96"/>
      <c r="K25" s="96"/>
      <c r="L25" s="96"/>
      <c r="M25" s="96"/>
      <c r="N25" s="96"/>
      <c r="O25" s="96"/>
      <c r="P25" s="96"/>
      <c r="Q25" s="96"/>
      <c r="R25" s="96"/>
      <c r="S25" s="96" t="s">
        <v>41</v>
      </c>
      <c r="T25" s="96"/>
      <c r="U25" s="96"/>
    </row>
    <row r="26" spans="1:21" ht="15" customHeight="1">
      <c r="A26" s="61"/>
      <c r="B26" s="61"/>
      <c r="C26" s="110" t="s">
        <v>42</v>
      </c>
      <c r="D26" s="87"/>
      <c r="E26" s="103" t="s">
        <v>43</v>
      </c>
      <c r="F26" s="103"/>
      <c r="G26" s="103"/>
      <c r="H26" s="103"/>
      <c r="I26" s="103"/>
      <c r="J26" s="103"/>
      <c r="K26" s="103"/>
      <c r="L26" s="103"/>
      <c r="M26" s="103"/>
      <c r="N26" s="103"/>
      <c r="O26" s="103"/>
      <c r="P26" s="103"/>
      <c r="Q26" s="103"/>
      <c r="R26" s="103"/>
      <c r="S26" s="87" t="s">
        <v>28</v>
      </c>
      <c r="T26" s="87"/>
      <c r="U26" s="87"/>
    </row>
    <row r="27" spans="1:21" ht="34.5" customHeight="1">
      <c r="A27" s="61"/>
      <c r="B27" s="61"/>
      <c r="C27" s="110" t="s">
        <v>44</v>
      </c>
      <c r="D27" s="87"/>
      <c r="E27" s="103" t="s">
        <v>45</v>
      </c>
      <c r="F27" s="103"/>
      <c r="G27" s="103"/>
      <c r="H27" s="103"/>
      <c r="I27" s="103"/>
      <c r="J27" s="103"/>
      <c r="K27" s="103"/>
      <c r="L27" s="103"/>
      <c r="M27" s="103"/>
      <c r="N27" s="103"/>
      <c r="O27" s="103"/>
      <c r="P27" s="103"/>
      <c r="Q27" s="103"/>
      <c r="R27" s="103"/>
      <c r="S27" s="87" t="s">
        <v>30</v>
      </c>
      <c r="T27" s="87"/>
      <c r="U27" s="87"/>
    </row>
    <row r="28" spans="1:21">
      <c r="A28" s="61"/>
      <c r="B28" s="61"/>
      <c r="C28" s="117" t="s">
        <v>46</v>
      </c>
      <c r="D28" s="118"/>
      <c r="E28" s="103" t="s">
        <v>47</v>
      </c>
      <c r="F28" s="103"/>
      <c r="G28" s="103"/>
      <c r="H28" s="103"/>
      <c r="I28" s="103"/>
      <c r="J28" s="103"/>
      <c r="K28" s="103"/>
      <c r="L28" s="103"/>
      <c r="M28" s="103"/>
      <c r="N28" s="103"/>
      <c r="O28" s="103"/>
      <c r="P28" s="103"/>
      <c r="Q28" s="103"/>
      <c r="R28" s="103"/>
      <c r="S28" s="88" t="s">
        <v>30</v>
      </c>
      <c r="T28" s="88"/>
      <c r="U28" s="88"/>
    </row>
    <row r="29" spans="1:21">
      <c r="A29" s="61"/>
      <c r="B29" s="95"/>
      <c r="C29" s="110" t="s">
        <v>48</v>
      </c>
      <c r="D29" s="87"/>
      <c r="E29" s="113" t="s">
        <v>49</v>
      </c>
      <c r="F29" s="103"/>
      <c r="G29" s="103"/>
      <c r="H29" s="103"/>
      <c r="I29" s="103"/>
      <c r="J29" s="103"/>
      <c r="K29" s="103"/>
      <c r="L29" s="103"/>
      <c r="M29" s="103"/>
      <c r="N29" s="103"/>
      <c r="O29" s="103"/>
      <c r="P29" s="103"/>
      <c r="Q29" s="103"/>
      <c r="R29" s="103"/>
      <c r="S29" s="87" t="s">
        <v>38</v>
      </c>
      <c r="T29" s="87"/>
      <c r="U29" s="87"/>
    </row>
    <row r="30" spans="1:21" ht="15" customHeight="1">
      <c r="A30" s="61"/>
      <c r="B30" s="61"/>
      <c r="C30" s="115" t="s">
        <v>50</v>
      </c>
      <c r="D30" s="116"/>
      <c r="E30" s="103" t="s">
        <v>51</v>
      </c>
      <c r="F30" s="103"/>
      <c r="G30" s="103"/>
      <c r="H30" s="103"/>
      <c r="I30" s="103"/>
      <c r="J30" s="103"/>
      <c r="K30" s="103"/>
      <c r="L30" s="103"/>
      <c r="M30" s="103"/>
      <c r="N30" s="103"/>
      <c r="O30" s="103"/>
      <c r="P30" s="103"/>
      <c r="Q30" s="103"/>
      <c r="R30" s="103"/>
      <c r="S30" s="87" t="s">
        <v>32</v>
      </c>
      <c r="T30" s="87"/>
      <c r="U30" s="87"/>
    </row>
    <row r="31" spans="1:21" ht="15" customHeight="1">
      <c r="A31" s="61"/>
      <c r="B31" s="61"/>
      <c r="C31" s="110" t="s">
        <v>52</v>
      </c>
      <c r="D31" s="87"/>
      <c r="E31" s="106" t="s">
        <v>53</v>
      </c>
      <c r="F31" s="106"/>
      <c r="G31" s="106"/>
      <c r="H31" s="106"/>
      <c r="I31" s="106"/>
      <c r="J31" s="106"/>
      <c r="K31" s="106"/>
      <c r="L31" s="106"/>
      <c r="M31" s="106"/>
      <c r="N31" s="106"/>
      <c r="O31" s="106"/>
      <c r="P31" s="106"/>
      <c r="Q31" s="106"/>
      <c r="R31" s="106"/>
      <c r="S31" s="87" t="s">
        <v>34</v>
      </c>
      <c r="T31" s="87"/>
      <c r="U31" s="87"/>
    </row>
    <row r="32" spans="1:21" ht="15" customHeight="1">
      <c r="A32" s="61"/>
      <c r="B32" s="61"/>
      <c r="C32" s="131" t="s">
        <v>54</v>
      </c>
      <c r="D32" s="132"/>
      <c r="E32" s="133" t="s">
        <v>55</v>
      </c>
      <c r="F32" s="133"/>
      <c r="G32" s="133"/>
      <c r="H32" s="133"/>
      <c r="I32" s="133"/>
      <c r="J32" s="133"/>
      <c r="K32" s="133"/>
      <c r="L32" s="133"/>
      <c r="M32" s="133"/>
      <c r="N32" s="133"/>
      <c r="O32" s="133"/>
      <c r="P32" s="133"/>
      <c r="Q32" s="133"/>
      <c r="R32" s="133"/>
      <c r="S32" s="87" t="s">
        <v>36</v>
      </c>
      <c r="T32" s="87"/>
      <c r="U32" s="87"/>
    </row>
    <row r="33" spans="1:21" ht="24.75" customHeight="1">
      <c r="A33" s="61"/>
      <c r="B33" s="61"/>
      <c r="C33" s="131" t="s">
        <v>56</v>
      </c>
      <c r="D33" s="136"/>
      <c r="E33" s="133" t="s">
        <v>57</v>
      </c>
      <c r="F33" s="133"/>
      <c r="G33" s="133"/>
      <c r="H33" s="133"/>
      <c r="I33" s="133"/>
      <c r="J33" s="133"/>
      <c r="K33" s="133"/>
      <c r="L33" s="133"/>
      <c r="M33" s="133"/>
      <c r="N33" s="133"/>
      <c r="O33" s="133"/>
      <c r="P33" s="133"/>
      <c r="Q33" s="133"/>
      <c r="R33" s="133"/>
      <c r="S33" s="87" t="s">
        <v>38</v>
      </c>
      <c r="T33" s="87"/>
      <c r="U33" s="87"/>
    </row>
    <row r="34" spans="1:21">
      <c r="A34" s="119" t="s">
        <v>58</v>
      </c>
      <c r="B34" s="120"/>
      <c r="C34" s="121" t="s">
        <v>59</v>
      </c>
      <c r="D34" s="122"/>
      <c r="E34" s="125" t="s">
        <v>60</v>
      </c>
      <c r="F34" s="125"/>
      <c r="G34" s="125"/>
      <c r="H34" s="125"/>
      <c r="I34" s="125"/>
      <c r="J34" s="125"/>
      <c r="K34" s="125"/>
      <c r="L34" s="125"/>
      <c r="M34" s="125"/>
      <c r="N34" s="125"/>
      <c r="O34" s="125"/>
      <c r="P34" s="125"/>
      <c r="Q34" s="125"/>
      <c r="R34" s="125"/>
      <c r="S34" s="126" t="s">
        <v>61</v>
      </c>
      <c r="T34" s="121"/>
      <c r="U34" s="121"/>
    </row>
    <row r="35" spans="1:21" ht="15" customHeight="1">
      <c r="A35" s="61"/>
      <c r="B35" s="95"/>
      <c r="C35" s="123"/>
      <c r="D35" s="124"/>
      <c r="E35" s="128" t="s">
        <v>62</v>
      </c>
      <c r="F35" s="128"/>
      <c r="G35" s="128"/>
      <c r="H35" s="128"/>
      <c r="I35" s="128"/>
      <c r="J35" s="128"/>
      <c r="K35" s="128"/>
      <c r="L35" s="128"/>
      <c r="M35" s="128"/>
      <c r="N35" s="128" t="s">
        <v>63</v>
      </c>
      <c r="O35" s="128"/>
      <c r="P35" s="128"/>
      <c r="Q35" s="128"/>
      <c r="R35" s="128"/>
      <c r="S35" s="127"/>
      <c r="T35" s="123"/>
      <c r="U35" s="123"/>
    </row>
    <row r="36" spans="1:21" ht="15" customHeight="1">
      <c r="A36" s="61"/>
      <c r="B36" s="95"/>
      <c r="C36" s="123"/>
      <c r="D36" s="124"/>
      <c r="E36" s="129" t="s">
        <v>64</v>
      </c>
      <c r="F36" s="130"/>
      <c r="G36" s="130"/>
      <c r="H36" s="53" t="s">
        <v>65</v>
      </c>
      <c r="I36" s="134" t="s">
        <v>66</v>
      </c>
      <c r="J36" s="134"/>
      <c r="K36" s="134"/>
      <c r="L36" s="134"/>
      <c r="M36" s="134"/>
      <c r="N36" s="134" t="s">
        <v>67</v>
      </c>
      <c r="O36" s="134"/>
      <c r="P36" s="134" t="s">
        <v>68</v>
      </c>
      <c r="Q36" s="134"/>
      <c r="R36" s="134"/>
      <c r="S36" s="127"/>
      <c r="T36" s="123"/>
      <c r="U36" s="123"/>
    </row>
    <row r="37" spans="1:21">
      <c r="A37" s="61"/>
      <c r="B37" s="95"/>
      <c r="C37" s="110" t="s">
        <v>42</v>
      </c>
      <c r="D37" s="87"/>
      <c r="E37" s="135">
        <v>5</v>
      </c>
      <c r="F37" s="135"/>
      <c r="G37" s="135"/>
      <c r="H37" s="54"/>
      <c r="I37" s="135"/>
      <c r="J37" s="135"/>
      <c r="K37" s="135"/>
      <c r="L37" s="135"/>
      <c r="M37" s="135"/>
      <c r="N37" s="135">
        <v>10</v>
      </c>
      <c r="O37" s="135"/>
      <c r="P37" s="135"/>
      <c r="Q37" s="135"/>
      <c r="R37" s="135"/>
      <c r="S37" s="137">
        <f>SUM(E37:R37)</f>
        <v>15</v>
      </c>
      <c r="T37" s="138"/>
      <c r="U37" s="138"/>
    </row>
    <row r="38" spans="1:21">
      <c r="A38" s="61"/>
      <c r="B38" s="95"/>
      <c r="C38" s="110" t="s">
        <v>44</v>
      </c>
      <c r="D38" s="87"/>
      <c r="E38" s="135"/>
      <c r="F38" s="135"/>
      <c r="G38" s="135"/>
      <c r="H38" s="54">
        <v>10</v>
      </c>
      <c r="I38" s="135"/>
      <c r="J38" s="135"/>
      <c r="K38" s="135"/>
      <c r="L38" s="135"/>
      <c r="M38" s="135"/>
      <c r="N38" s="135">
        <v>10</v>
      </c>
      <c r="O38" s="135"/>
      <c r="P38" s="135"/>
      <c r="Q38" s="135"/>
      <c r="R38" s="135"/>
      <c r="S38" s="137">
        <f t="shared" ref="S38:S43" si="0">SUM(E38:R38)</f>
        <v>20</v>
      </c>
      <c r="T38" s="138"/>
      <c r="U38" s="138"/>
    </row>
    <row r="39" spans="1:21">
      <c r="A39" s="61"/>
      <c r="B39" s="95"/>
      <c r="C39" s="131" t="s">
        <v>46</v>
      </c>
      <c r="D39" s="132"/>
      <c r="E39" s="135"/>
      <c r="F39" s="135"/>
      <c r="G39" s="135"/>
      <c r="H39" s="54">
        <v>5</v>
      </c>
      <c r="I39" s="135"/>
      <c r="J39" s="135"/>
      <c r="K39" s="135"/>
      <c r="L39" s="135"/>
      <c r="M39" s="135"/>
      <c r="N39" s="135">
        <v>10</v>
      </c>
      <c r="O39" s="135"/>
      <c r="P39" s="135"/>
      <c r="Q39" s="135"/>
      <c r="R39" s="135"/>
      <c r="S39" s="137">
        <f t="shared" si="0"/>
        <v>15</v>
      </c>
      <c r="T39" s="138"/>
      <c r="U39" s="138"/>
    </row>
    <row r="40" spans="1:21">
      <c r="A40" s="61"/>
      <c r="B40" s="95"/>
      <c r="C40" s="110" t="s">
        <v>48</v>
      </c>
      <c r="D40" s="87"/>
      <c r="E40" s="135"/>
      <c r="F40" s="135"/>
      <c r="G40" s="135"/>
      <c r="H40" s="54">
        <v>5</v>
      </c>
      <c r="I40" s="135"/>
      <c r="J40" s="135"/>
      <c r="K40" s="135"/>
      <c r="L40" s="135"/>
      <c r="M40" s="135"/>
      <c r="N40" s="135">
        <v>10</v>
      </c>
      <c r="O40" s="135"/>
      <c r="P40" s="135"/>
      <c r="Q40" s="135"/>
      <c r="R40" s="135"/>
      <c r="S40" s="137">
        <f t="shared" si="0"/>
        <v>15</v>
      </c>
      <c r="T40" s="138"/>
      <c r="U40" s="138"/>
    </row>
    <row r="41" spans="1:21">
      <c r="A41" s="61"/>
      <c r="B41" s="95"/>
      <c r="C41" s="131" t="s">
        <v>50</v>
      </c>
      <c r="D41" s="132"/>
      <c r="E41" s="139"/>
      <c r="F41" s="140"/>
      <c r="G41" s="141"/>
      <c r="H41" s="54"/>
      <c r="I41" s="135">
        <v>10</v>
      </c>
      <c r="J41" s="135"/>
      <c r="K41" s="135"/>
      <c r="L41" s="135"/>
      <c r="M41" s="135"/>
      <c r="N41" s="139"/>
      <c r="O41" s="141"/>
      <c r="P41" s="139"/>
      <c r="Q41" s="140"/>
      <c r="R41" s="141"/>
      <c r="S41" s="137">
        <f t="shared" si="0"/>
        <v>10</v>
      </c>
      <c r="T41" s="138"/>
      <c r="U41" s="138"/>
    </row>
    <row r="42" spans="1:21">
      <c r="A42" s="61"/>
      <c r="B42" s="95"/>
      <c r="C42" s="110" t="s">
        <v>52</v>
      </c>
      <c r="D42" s="87"/>
      <c r="E42" s="139"/>
      <c r="F42" s="140"/>
      <c r="G42" s="141"/>
      <c r="H42" s="54"/>
      <c r="I42" s="135"/>
      <c r="J42" s="135"/>
      <c r="K42" s="135"/>
      <c r="L42" s="135"/>
      <c r="M42" s="135"/>
      <c r="N42" s="139">
        <v>5</v>
      </c>
      <c r="O42" s="141"/>
      <c r="P42" s="139">
        <v>5</v>
      </c>
      <c r="Q42" s="140"/>
      <c r="R42" s="141"/>
      <c r="S42" s="137">
        <f t="shared" si="0"/>
        <v>10</v>
      </c>
      <c r="T42" s="138"/>
      <c r="U42" s="138"/>
    </row>
    <row r="43" spans="1:21">
      <c r="A43" s="61"/>
      <c r="B43" s="95"/>
      <c r="C43" s="131" t="s">
        <v>54</v>
      </c>
      <c r="D43" s="132"/>
      <c r="E43" s="135"/>
      <c r="F43" s="135"/>
      <c r="G43" s="135"/>
      <c r="H43" s="54"/>
      <c r="I43" s="135"/>
      <c r="J43" s="135"/>
      <c r="K43" s="135"/>
      <c r="L43" s="135"/>
      <c r="M43" s="135"/>
      <c r="N43" s="135">
        <v>10</v>
      </c>
      <c r="O43" s="135"/>
      <c r="P43" s="135"/>
      <c r="Q43" s="135"/>
      <c r="R43" s="135"/>
      <c r="S43" s="137">
        <f t="shared" si="0"/>
        <v>10</v>
      </c>
      <c r="T43" s="138"/>
      <c r="U43" s="138"/>
    </row>
    <row r="44" spans="1:21">
      <c r="A44" s="61"/>
      <c r="B44" s="95"/>
      <c r="C44" s="131" t="s">
        <v>56</v>
      </c>
      <c r="D44" s="136"/>
      <c r="E44" s="139">
        <v>5</v>
      </c>
      <c r="F44" s="140"/>
      <c r="G44" s="141"/>
      <c r="H44" s="54"/>
      <c r="I44" s="139"/>
      <c r="J44" s="140"/>
      <c r="K44" s="140"/>
      <c r="L44" s="140"/>
      <c r="M44" s="141"/>
      <c r="N44" s="139"/>
      <c r="O44" s="141"/>
      <c r="P44" s="139"/>
      <c r="Q44" s="140"/>
      <c r="R44" s="141"/>
      <c r="S44" s="144">
        <f>SUM(E44:R44)</f>
        <v>5</v>
      </c>
      <c r="T44" s="145"/>
      <c r="U44" s="137"/>
    </row>
    <row r="45" spans="1:21">
      <c r="A45" s="61"/>
      <c r="B45" s="95"/>
      <c r="C45" s="142" t="s">
        <v>69</v>
      </c>
      <c r="D45" s="143"/>
      <c r="E45" s="135">
        <f>SUM(E37:G44)</f>
        <v>10</v>
      </c>
      <c r="F45" s="135"/>
      <c r="G45" s="135"/>
      <c r="H45" s="54">
        <f>SUM(H37:H43)</f>
        <v>20</v>
      </c>
      <c r="I45" s="139">
        <f>SUM(I37:K43)</f>
        <v>10</v>
      </c>
      <c r="J45" s="140"/>
      <c r="K45" s="140"/>
      <c r="L45" s="140"/>
      <c r="M45" s="141"/>
      <c r="N45" s="135">
        <f>SUM(N37:O43)</f>
        <v>55</v>
      </c>
      <c r="O45" s="135"/>
      <c r="P45" s="135">
        <f>SUM(P37:R43)</f>
        <v>5</v>
      </c>
      <c r="Q45" s="135"/>
      <c r="R45" s="135"/>
      <c r="S45" s="137">
        <f>SUM(S37:U44)</f>
        <v>100</v>
      </c>
      <c r="T45" s="138"/>
      <c r="U45" s="138"/>
    </row>
    <row r="46" spans="1:21">
      <c r="A46" s="61" t="s">
        <v>70</v>
      </c>
      <c r="B46" s="95"/>
      <c r="C46" s="147" t="s">
        <v>71</v>
      </c>
      <c r="D46" s="147"/>
      <c r="E46" s="146"/>
      <c r="F46" s="148"/>
      <c r="G46" s="148"/>
      <c r="H46" s="148"/>
      <c r="I46" s="148"/>
      <c r="J46" s="148"/>
      <c r="K46" s="148"/>
      <c r="L46" s="148"/>
      <c r="M46" s="148"/>
      <c r="N46" s="148"/>
      <c r="O46" s="148"/>
      <c r="P46" s="148"/>
      <c r="Q46" s="148"/>
      <c r="R46" s="148"/>
      <c r="S46" s="106"/>
      <c r="T46" s="106"/>
      <c r="U46" s="106"/>
    </row>
    <row r="47" spans="1:21">
      <c r="A47" s="61"/>
      <c r="B47" s="61"/>
      <c r="C47" s="149" t="s">
        <v>72</v>
      </c>
      <c r="D47" s="150"/>
      <c r="E47" s="150"/>
      <c r="F47" s="150"/>
      <c r="G47" s="150"/>
      <c r="H47" s="150"/>
      <c r="I47" s="150"/>
      <c r="J47" s="150"/>
      <c r="K47" s="150"/>
      <c r="L47" s="150"/>
      <c r="M47" s="150"/>
      <c r="N47" s="150"/>
      <c r="O47" s="150"/>
      <c r="P47" s="150"/>
      <c r="Q47" s="150"/>
      <c r="R47" s="150"/>
      <c r="S47" s="150"/>
      <c r="T47" s="150"/>
      <c r="U47" s="151"/>
    </row>
    <row r="48" spans="1:21" ht="15" customHeight="1">
      <c r="A48" s="61"/>
      <c r="B48" s="61"/>
      <c r="C48" s="149" t="s">
        <v>73</v>
      </c>
      <c r="D48" s="150"/>
      <c r="E48" s="150"/>
      <c r="F48" s="150"/>
      <c r="G48" s="150"/>
      <c r="H48" s="150"/>
      <c r="I48" s="150"/>
      <c r="J48" s="150"/>
      <c r="K48" s="150"/>
      <c r="L48" s="150"/>
      <c r="M48" s="150"/>
      <c r="N48" s="150"/>
      <c r="O48" s="150"/>
      <c r="P48" s="150"/>
      <c r="Q48" s="150"/>
      <c r="R48" s="150"/>
      <c r="S48" s="150"/>
      <c r="T48" s="150"/>
      <c r="U48" s="151"/>
    </row>
    <row r="49" spans="1:21">
      <c r="A49" s="61"/>
      <c r="B49" s="95"/>
      <c r="C49" s="96" t="s">
        <v>74</v>
      </c>
      <c r="D49" s="96"/>
      <c r="E49" s="96"/>
      <c r="F49" s="106"/>
      <c r="G49" s="106"/>
      <c r="H49" s="106"/>
      <c r="I49" s="106"/>
      <c r="J49" s="106"/>
      <c r="K49" s="106"/>
      <c r="L49" s="106"/>
      <c r="M49" s="106"/>
      <c r="N49" s="106"/>
      <c r="O49" s="106"/>
      <c r="P49" s="106"/>
      <c r="Q49" s="106"/>
      <c r="R49" s="106"/>
      <c r="S49" s="106"/>
      <c r="T49" s="106"/>
      <c r="U49" s="106"/>
    </row>
    <row r="50" spans="1:21">
      <c r="A50" s="61"/>
      <c r="B50" s="95"/>
      <c r="C50" s="152" t="s">
        <v>75</v>
      </c>
      <c r="D50" s="152"/>
      <c r="E50" s="152"/>
      <c r="F50" s="152"/>
      <c r="G50" s="152"/>
      <c r="H50" s="152"/>
      <c r="I50" s="152"/>
      <c r="J50" s="152"/>
      <c r="K50" s="152"/>
      <c r="L50" s="152"/>
      <c r="M50" s="152"/>
      <c r="N50" s="152"/>
      <c r="O50" s="152"/>
      <c r="P50" s="152"/>
      <c r="Q50" s="152"/>
      <c r="R50" s="152"/>
      <c r="S50" s="152"/>
      <c r="T50" s="152"/>
      <c r="U50" s="152"/>
    </row>
    <row r="51" spans="1:21">
      <c r="A51" s="61"/>
      <c r="B51" s="95"/>
      <c r="C51" s="152"/>
      <c r="D51" s="152"/>
      <c r="E51" s="152"/>
      <c r="F51" s="152"/>
      <c r="G51" s="152"/>
      <c r="H51" s="152"/>
      <c r="I51" s="152"/>
      <c r="J51" s="152"/>
      <c r="K51" s="152"/>
      <c r="L51" s="152"/>
      <c r="M51" s="152"/>
      <c r="N51" s="152"/>
      <c r="O51" s="152"/>
      <c r="P51" s="152"/>
      <c r="Q51" s="152"/>
      <c r="R51" s="152"/>
      <c r="S51" s="152"/>
      <c r="T51" s="152"/>
      <c r="U51" s="152"/>
    </row>
    <row r="52" spans="1:21">
      <c r="A52" s="61" t="s">
        <v>76</v>
      </c>
      <c r="B52" s="95"/>
      <c r="C52" s="146" t="s">
        <v>77</v>
      </c>
      <c r="D52" s="146"/>
      <c r="E52" s="146"/>
      <c r="F52" s="146"/>
      <c r="G52" s="146"/>
      <c r="H52" s="146"/>
      <c r="I52" s="146"/>
      <c r="J52" s="146" t="s">
        <v>78</v>
      </c>
      <c r="K52" s="146"/>
      <c r="L52" s="146"/>
      <c r="M52" s="146"/>
      <c r="N52" s="146"/>
      <c r="O52" s="146"/>
      <c r="P52" s="146"/>
      <c r="Q52" s="146"/>
      <c r="R52" s="146"/>
      <c r="S52" s="146"/>
      <c r="T52" s="146"/>
      <c r="U52" s="146"/>
    </row>
    <row r="53" spans="1:21" ht="60.75" customHeight="1">
      <c r="A53" s="61"/>
      <c r="B53" s="95"/>
      <c r="C53" s="106" t="s">
        <v>79</v>
      </c>
      <c r="D53" s="106"/>
      <c r="E53" s="106"/>
      <c r="F53" s="106"/>
      <c r="G53" s="106"/>
      <c r="H53" s="106"/>
      <c r="I53" s="106"/>
      <c r="J53" s="106" t="s">
        <v>80</v>
      </c>
      <c r="K53" s="106"/>
      <c r="L53" s="106"/>
      <c r="M53" s="106"/>
      <c r="N53" s="106"/>
      <c r="O53" s="106"/>
      <c r="P53" s="106"/>
      <c r="Q53" s="106"/>
      <c r="R53" s="106"/>
      <c r="S53" s="106"/>
      <c r="T53" s="106"/>
      <c r="U53" s="106"/>
    </row>
    <row r="54" spans="1:21">
      <c r="A54" s="61" t="s">
        <v>81</v>
      </c>
      <c r="B54" s="95"/>
      <c r="C54" s="106" t="s">
        <v>82</v>
      </c>
      <c r="D54" s="106"/>
      <c r="E54" s="106"/>
      <c r="F54" s="106"/>
      <c r="G54" s="106"/>
      <c r="H54" s="106"/>
      <c r="I54" s="106"/>
      <c r="J54" s="106"/>
      <c r="K54" s="106"/>
      <c r="L54" s="106"/>
      <c r="M54" s="106"/>
      <c r="N54" s="106"/>
      <c r="O54" s="106"/>
      <c r="P54" s="106"/>
      <c r="Q54" s="106"/>
      <c r="R54" s="106"/>
      <c r="S54" s="106"/>
      <c r="T54" s="106"/>
      <c r="U54" s="106"/>
    </row>
    <row r="55" spans="1:21">
      <c r="A55" s="61" t="s">
        <v>83</v>
      </c>
      <c r="B55" s="95"/>
      <c r="C55" s="133" t="s">
        <v>84</v>
      </c>
      <c r="D55" s="133"/>
      <c r="E55" s="133"/>
      <c r="F55" s="133"/>
      <c r="G55" s="133"/>
      <c r="H55" s="133"/>
      <c r="I55" s="133"/>
      <c r="J55" s="133"/>
      <c r="K55" s="133"/>
      <c r="L55" s="133"/>
      <c r="M55" s="133"/>
      <c r="N55" s="133"/>
      <c r="O55" s="133"/>
      <c r="P55" s="133"/>
      <c r="Q55" s="133"/>
      <c r="R55" s="133"/>
      <c r="S55" s="133"/>
      <c r="T55" s="133"/>
      <c r="U55" s="133"/>
    </row>
    <row r="56" spans="1:21" ht="15" customHeight="1">
      <c r="A56" s="61" t="s">
        <v>85</v>
      </c>
      <c r="B56" s="95"/>
      <c r="C56" s="132">
        <v>50.01</v>
      </c>
      <c r="D56" s="132"/>
      <c r="E56" s="106"/>
      <c r="F56" s="106"/>
      <c r="G56" s="106"/>
      <c r="H56" s="106"/>
      <c r="I56" s="106"/>
      <c r="J56" s="106"/>
      <c r="K56" s="106"/>
      <c r="L56" s="106"/>
      <c r="M56" s="106"/>
      <c r="N56" s="106"/>
      <c r="O56" s="106"/>
      <c r="P56" s="106"/>
      <c r="Q56" s="106"/>
      <c r="R56" s="106"/>
      <c r="S56" s="106"/>
      <c r="T56" s="106"/>
      <c r="U56" s="106"/>
    </row>
    <row r="57" spans="1:21" ht="15" customHeight="1">
      <c r="A57" s="61" t="s">
        <v>86</v>
      </c>
      <c r="B57" s="95"/>
      <c r="C57" s="157">
        <v>0.85499999999999998</v>
      </c>
      <c r="D57" s="157"/>
      <c r="E57" s="106"/>
      <c r="F57" s="106"/>
      <c r="G57" s="106"/>
      <c r="H57" s="106"/>
      <c r="I57" s="106"/>
      <c r="J57" s="106"/>
      <c r="K57" s="106"/>
      <c r="L57" s="106"/>
      <c r="M57" s="106"/>
      <c r="N57" s="106"/>
      <c r="O57" s="106"/>
      <c r="P57" s="106"/>
      <c r="Q57" s="106"/>
      <c r="R57" s="106"/>
      <c r="S57" s="106"/>
      <c r="T57" s="106"/>
      <c r="U57" s="106"/>
    </row>
    <row r="58" spans="1:21" ht="15.75">
      <c r="A58" s="153"/>
      <c r="B58" s="154"/>
      <c r="C58" s="154"/>
      <c r="D58" s="154"/>
      <c r="E58" s="154"/>
      <c r="F58" s="154"/>
      <c r="G58" s="154"/>
      <c r="H58" s="154"/>
      <c r="I58" s="154"/>
      <c r="J58" s="154"/>
      <c r="K58" s="154"/>
      <c r="L58" s="154"/>
      <c r="M58" s="154"/>
      <c r="N58" s="154"/>
      <c r="O58" s="154"/>
      <c r="P58" s="154"/>
      <c r="Q58" s="154"/>
      <c r="R58" s="154"/>
      <c r="S58" s="154"/>
      <c r="T58" s="154"/>
      <c r="U58" s="155"/>
    </row>
    <row r="59" spans="1:21" s="5" customFormat="1" ht="48">
      <c r="A59" s="55" t="s">
        <v>87</v>
      </c>
      <c r="B59" s="55" t="s">
        <v>88</v>
      </c>
      <c r="C59" s="156" t="s">
        <v>89</v>
      </c>
      <c r="D59" s="156"/>
      <c r="E59" s="156"/>
      <c r="F59" s="156" t="s">
        <v>90</v>
      </c>
      <c r="G59" s="156"/>
      <c r="H59" s="156"/>
      <c r="I59" s="156" t="s">
        <v>91</v>
      </c>
      <c r="J59" s="156"/>
      <c r="K59" s="156"/>
      <c r="L59" s="156"/>
      <c r="M59" s="156" t="s">
        <v>92</v>
      </c>
      <c r="N59" s="156"/>
      <c r="O59" s="156" t="s">
        <v>93</v>
      </c>
      <c r="P59" s="156"/>
      <c r="Q59" s="156"/>
      <c r="R59" s="55" t="s">
        <v>94</v>
      </c>
      <c r="S59" s="156" t="s">
        <v>95</v>
      </c>
      <c r="T59" s="156"/>
      <c r="U59" s="55" t="s">
        <v>96</v>
      </c>
    </row>
    <row r="60" spans="1:21" ht="89.25" customHeight="1">
      <c r="A60" s="56">
        <v>1</v>
      </c>
      <c r="B60" s="57" t="s">
        <v>97</v>
      </c>
      <c r="C60" s="158" t="s">
        <v>98</v>
      </c>
      <c r="D60" s="158"/>
      <c r="E60" s="158"/>
      <c r="F60" s="158" t="s">
        <v>99</v>
      </c>
      <c r="G60" s="158"/>
      <c r="H60" s="158"/>
      <c r="I60" s="158" t="s">
        <v>100</v>
      </c>
      <c r="J60" s="158"/>
      <c r="K60" s="158"/>
      <c r="L60" s="158"/>
      <c r="M60" s="158" t="s">
        <v>101</v>
      </c>
      <c r="N60" s="158"/>
      <c r="O60" s="158" t="s">
        <v>102</v>
      </c>
      <c r="P60" s="158"/>
      <c r="Q60" s="158"/>
      <c r="R60" s="56" t="s">
        <v>103</v>
      </c>
      <c r="S60" s="159"/>
      <c r="T60" s="159"/>
      <c r="U60" s="56"/>
    </row>
    <row r="61" spans="1:21" ht="151.5" customHeight="1">
      <c r="A61" s="56">
        <v>2</v>
      </c>
      <c r="B61" s="57" t="s">
        <v>97</v>
      </c>
      <c r="C61" s="158" t="s">
        <v>104</v>
      </c>
      <c r="D61" s="158"/>
      <c r="E61" s="158"/>
      <c r="F61" s="158" t="s">
        <v>105</v>
      </c>
      <c r="G61" s="158"/>
      <c r="H61" s="158"/>
      <c r="I61" s="158" t="s">
        <v>100</v>
      </c>
      <c r="J61" s="158"/>
      <c r="K61" s="158"/>
      <c r="L61" s="158"/>
      <c r="M61" s="158" t="s">
        <v>101</v>
      </c>
      <c r="N61" s="158"/>
      <c r="O61" s="158" t="s">
        <v>102</v>
      </c>
      <c r="P61" s="158"/>
      <c r="Q61" s="158"/>
      <c r="R61" s="56"/>
      <c r="S61" s="159" t="s">
        <v>103</v>
      </c>
      <c r="T61" s="159"/>
      <c r="U61" s="56"/>
    </row>
    <row r="62" spans="1:21" ht="117.75" customHeight="1">
      <c r="A62" s="56">
        <v>3</v>
      </c>
      <c r="B62" s="57" t="s">
        <v>106</v>
      </c>
      <c r="C62" s="158" t="s">
        <v>107</v>
      </c>
      <c r="D62" s="158"/>
      <c r="E62" s="158"/>
      <c r="F62" s="158" t="s">
        <v>108</v>
      </c>
      <c r="G62" s="158"/>
      <c r="H62" s="158"/>
      <c r="I62" s="158" t="s">
        <v>109</v>
      </c>
      <c r="J62" s="158"/>
      <c r="K62" s="158"/>
      <c r="L62" s="158"/>
      <c r="M62" s="158" t="s">
        <v>110</v>
      </c>
      <c r="N62" s="158"/>
      <c r="O62" s="158" t="s">
        <v>109</v>
      </c>
      <c r="P62" s="158"/>
      <c r="Q62" s="158"/>
      <c r="R62" s="56" t="s">
        <v>103</v>
      </c>
      <c r="S62" s="159"/>
      <c r="T62" s="159"/>
      <c r="U62" s="56"/>
    </row>
    <row r="63" spans="1:21" ht="84" customHeight="1">
      <c r="A63" s="56">
        <v>4</v>
      </c>
      <c r="B63" s="57" t="s">
        <v>111</v>
      </c>
      <c r="C63" s="158" t="s">
        <v>112</v>
      </c>
      <c r="D63" s="158"/>
      <c r="E63" s="158"/>
      <c r="F63" s="158" t="s">
        <v>113</v>
      </c>
      <c r="G63" s="158"/>
      <c r="H63" s="158"/>
      <c r="I63" s="158" t="s">
        <v>114</v>
      </c>
      <c r="J63" s="158"/>
      <c r="K63" s="158"/>
      <c r="L63" s="158"/>
      <c r="M63" s="158" t="s">
        <v>115</v>
      </c>
      <c r="N63" s="158"/>
      <c r="O63" s="158" t="s">
        <v>116</v>
      </c>
      <c r="P63" s="158"/>
      <c r="Q63" s="158"/>
      <c r="R63" s="56"/>
      <c r="S63" s="159" t="s">
        <v>103</v>
      </c>
      <c r="T63" s="159"/>
      <c r="U63" s="56"/>
    </row>
    <row r="64" spans="1:21" ht="53.25" customHeight="1">
      <c r="A64" s="56">
        <v>5</v>
      </c>
      <c r="B64" s="57" t="s">
        <v>106</v>
      </c>
      <c r="C64" s="158" t="s">
        <v>117</v>
      </c>
      <c r="D64" s="158"/>
      <c r="E64" s="158"/>
      <c r="F64" s="158" t="s">
        <v>118</v>
      </c>
      <c r="G64" s="158"/>
      <c r="H64" s="158"/>
      <c r="I64" s="158" t="s">
        <v>119</v>
      </c>
      <c r="J64" s="158"/>
      <c r="K64" s="158"/>
      <c r="L64" s="158"/>
      <c r="M64" s="158" t="s">
        <v>120</v>
      </c>
      <c r="N64" s="158"/>
      <c r="O64" s="158" t="s">
        <v>121</v>
      </c>
      <c r="P64" s="158"/>
      <c r="Q64" s="158"/>
      <c r="R64" s="56" t="s">
        <v>103</v>
      </c>
      <c r="S64" s="159"/>
      <c r="T64" s="159"/>
      <c r="U64" s="56"/>
    </row>
    <row r="65" spans="1:21" ht="55.5" customHeight="1">
      <c r="A65" s="56">
        <v>6</v>
      </c>
      <c r="B65" s="57" t="s">
        <v>106</v>
      </c>
      <c r="C65" s="158" t="s">
        <v>117</v>
      </c>
      <c r="D65" s="158"/>
      <c r="E65" s="158"/>
      <c r="F65" s="158" t="s">
        <v>118</v>
      </c>
      <c r="G65" s="158"/>
      <c r="H65" s="158"/>
      <c r="I65" s="158" t="s">
        <v>119</v>
      </c>
      <c r="J65" s="158"/>
      <c r="K65" s="158"/>
      <c r="L65" s="158"/>
      <c r="M65" s="158" t="s">
        <v>120</v>
      </c>
      <c r="N65" s="158"/>
      <c r="O65" s="158" t="s">
        <v>121</v>
      </c>
      <c r="P65" s="158"/>
      <c r="Q65" s="158"/>
      <c r="R65" s="58" t="s">
        <v>103</v>
      </c>
      <c r="S65" s="160"/>
      <c r="T65" s="159"/>
      <c r="U65" s="56"/>
    </row>
    <row r="66" spans="1:21" ht="57" customHeight="1">
      <c r="A66" s="56">
        <v>7</v>
      </c>
      <c r="B66" s="57" t="s">
        <v>106</v>
      </c>
      <c r="C66" s="158" t="s">
        <v>122</v>
      </c>
      <c r="D66" s="158"/>
      <c r="E66" s="158"/>
      <c r="F66" s="158" t="s">
        <v>123</v>
      </c>
      <c r="G66" s="158"/>
      <c r="H66" s="158"/>
      <c r="I66" s="158" t="s">
        <v>124</v>
      </c>
      <c r="J66" s="158"/>
      <c r="K66" s="158"/>
      <c r="L66" s="158"/>
      <c r="M66" s="158" t="s">
        <v>125</v>
      </c>
      <c r="N66" s="158"/>
      <c r="O66" s="158" t="s">
        <v>126</v>
      </c>
      <c r="P66" s="158"/>
      <c r="Q66" s="158"/>
      <c r="R66" s="58" t="s">
        <v>103</v>
      </c>
      <c r="S66" s="160"/>
      <c r="T66" s="160"/>
      <c r="U66" s="56"/>
    </row>
    <row r="67" spans="1:21" ht="63" customHeight="1">
      <c r="A67" s="56">
        <v>8</v>
      </c>
      <c r="B67" s="57" t="s">
        <v>106</v>
      </c>
      <c r="C67" s="158" t="s">
        <v>122</v>
      </c>
      <c r="D67" s="158"/>
      <c r="E67" s="158"/>
      <c r="F67" s="158" t="s">
        <v>123</v>
      </c>
      <c r="G67" s="158"/>
      <c r="H67" s="158"/>
      <c r="I67" s="158" t="s">
        <v>124</v>
      </c>
      <c r="J67" s="158"/>
      <c r="K67" s="158"/>
      <c r="L67" s="158"/>
      <c r="M67" s="158" t="s">
        <v>125</v>
      </c>
      <c r="N67" s="158"/>
      <c r="O67" s="158" t="s">
        <v>126</v>
      </c>
      <c r="P67" s="158"/>
      <c r="Q67" s="158"/>
      <c r="R67" s="56"/>
      <c r="S67" s="159" t="s">
        <v>103</v>
      </c>
      <c r="T67" s="159"/>
      <c r="U67" s="56"/>
    </row>
    <row r="68" spans="1:21" ht="63" customHeight="1">
      <c r="A68" s="56">
        <v>9</v>
      </c>
      <c r="B68" s="57" t="s">
        <v>106</v>
      </c>
      <c r="C68" s="158" t="s">
        <v>122</v>
      </c>
      <c r="D68" s="158"/>
      <c r="E68" s="158"/>
      <c r="F68" s="158" t="s">
        <v>123</v>
      </c>
      <c r="G68" s="158"/>
      <c r="H68" s="158"/>
      <c r="I68" s="158" t="s">
        <v>124</v>
      </c>
      <c r="J68" s="158"/>
      <c r="K68" s="158"/>
      <c r="L68" s="158"/>
      <c r="M68" s="158" t="s">
        <v>125</v>
      </c>
      <c r="N68" s="158"/>
      <c r="O68" s="158" t="s">
        <v>126</v>
      </c>
      <c r="P68" s="158"/>
      <c r="Q68" s="158"/>
      <c r="R68" s="56"/>
      <c r="S68" s="160" t="s">
        <v>103</v>
      </c>
      <c r="T68" s="160"/>
      <c r="U68" s="56"/>
    </row>
    <row r="69" spans="1:21" ht="69" customHeight="1">
      <c r="A69" s="56">
        <v>10</v>
      </c>
      <c r="B69" s="57" t="s">
        <v>127</v>
      </c>
      <c r="C69" s="158" t="s">
        <v>128</v>
      </c>
      <c r="D69" s="158"/>
      <c r="E69" s="158"/>
      <c r="F69" s="158" t="s">
        <v>129</v>
      </c>
      <c r="G69" s="158"/>
      <c r="H69" s="158"/>
      <c r="I69" s="158" t="s">
        <v>130</v>
      </c>
      <c r="J69" s="158"/>
      <c r="K69" s="158"/>
      <c r="L69" s="158"/>
      <c r="M69" s="158" t="s">
        <v>131</v>
      </c>
      <c r="N69" s="158"/>
      <c r="O69" s="158" t="s">
        <v>132</v>
      </c>
      <c r="P69" s="158"/>
      <c r="Q69" s="158"/>
      <c r="R69" s="56" t="s">
        <v>103</v>
      </c>
      <c r="S69" s="159"/>
      <c r="T69" s="159"/>
      <c r="U69" s="56"/>
    </row>
    <row r="70" spans="1:21" ht="58.5" customHeight="1">
      <c r="A70" s="56">
        <v>11</v>
      </c>
      <c r="B70" s="57" t="s">
        <v>133</v>
      </c>
      <c r="C70" s="158" t="s">
        <v>134</v>
      </c>
      <c r="D70" s="158"/>
      <c r="E70" s="158"/>
      <c r="F70" s="158" t="s">
        <v>135</v>
      </c>
      <c r="G70" s="158"/>
      <c r="H70" s="158"/>
      <c r="I70" s="158" t="s">
        <v>136</v>
      </c>
      <c r="J70" s="158"/>
      <c r="K70" s="158"/>
      <c r="L70" s="158"/>
      <c r="M70" s="158" t="s">
        <v>137</v>
      </c>
      <c r="N70" s="158"/>
      <c r="O70" s="158" t="s">
        <v>132</v>
      </c>
      <c r="P70" s="158"/>
      <c r="Q70" s="158"/>
      <c r="R70" s="56" t="s">
        <v>103</v>
      </c>
      <c r="S70" s="159"/>
      <c r="T70" s="159"/>
      <c r="U70" s="56"/>
    </row>
    <row r="71" spans="1:21" ht="58.5" customHeight="1">
      <c r="A71" s="56">
        <v>12</v>
      </c>
      <c r="B71" s="57" t="s">
        <v>133</v>
      </c>
      <c r="C71" s="158" t="s">
        <v>134</v>
      </c>
      <c r="D71" s="158"/>
      <c r="E71" s="158"/>
      <c r="F71" s="158" t="s">
        <v>135</v>
      </c>
      <c r="G71" s="158"/>
      <c r="H71" s="158"/>
      <c r="I71" s="158" t="s">
        <v>136</v>
      </c>
      <c r="J71" s="158"/>
      <c r="K71" s="158"/>
      <c r="L71" s="158"/>
      <c r="M71" s="158" t="s">
        <v>137</v>
      </c>
      <c r="N71" s="158"/>
      <c r="O71" s="158" t="s">
        <v>132</v>
      </c>
      <c r="P71" s="158"/>
      <c r="Q71" s="158"/>
      <c r="R71" s="56"/>
      <c r="S71" s="160" t="s">
        <v>103</v>
      </c>
      <c r="T71" s="160"/>
      <c r="U71" s="56"/>
    </row>
    <row r="72" spans="1:21" ht="55.5" customHeight="1">
      <c r="A72" s="56">
        <v>13</v>
      </c>
      <c r="B72" s="57" t="s">
        <v>133</v>
      </c>
      <c r="C72" s="158" t="s">
        <v>134</v>
      </c>
      <c r="D72" s="158"/>
      <c r="E72" s="158"/>
      <c r="F72" s="158" t="s">
        <v>135</v>
      </c>
      <c r="G72" s="158"/>
      <c r="H72" s="158"/>
      <c r="I72" s="158" t="s">
        <v>136</v>
      </c>
      <c r="J72" s="158"/>
      <c r="K72" s="158"/>
      <c r="L72" s="158"/>
      <c r="M72" s="158" t="s">
        <v>137</v>
      </c>
      <c r="N72" s="158"/>
      <c r="O72" s="158" t="s">
        <v>132</v>
      </c>
      <c r="P72" s="158"/>
      <c r="Q72" s="158"/>
      <c r="R72" s="56"/>
      <c r="S72" s="160" t="s">
        <v>103</v>
      </c>
      <c r="T72" s="160"/>
      <c r="U72" s="56"/>
    </row>
    <row r="73" spans="1:21" ht="57" customHeight="1">
      <c r="A73" s="56">
        <v>14</v>
      </c>
      <c r="B73" s="57" t="s">
        <v>138</v>
      </c>
      <c r="C73" s="161" t="s">
        <v>139</v>
      </c>
      <c r="D73" s="162"/>
      <c r="E73" s="163"/>
      <c r="F73" s="158" t="s">
        <v>140</v>
      </c>
      <c r="G73" s="158"/>
      <c r="H73" s="158"/>
      <c r="I73" s="158" t="s">
        <v>141</v>
      </c>
      <c r="J73" s="158"/>
      <c r="K73" s="158"/>
      <c r="L73" s="158"/>
      <c r="M73" s="158" t="s">
        <v>142</v>
      </c>
      <c r="N73" s="158"/>
      <c r="O73" s="158" t="s">
        <v>143</v>
      </c>
      <c r="P73" s="158"/>
      <c r="Q73" s="158"/>
      <c r="R73" s="56" t="s">
        <v>103</v>
      </c>
      <c r="S73" s="159"/>
      <c r="T73" s="159"/>
      <c r="U73" s="56"/>
    </row>
    <row r="74" spans="1:21" ht="59.25" customHeight="1">
      <c r="A74" s="56">
        <v>15</v>
      </c>
      <c r="B74" s="57" t="s">
        <v>144</v>
      </c>
      <c r="C74" s="158" t="s">
        <v>145</v>
      </c>
      <c r="D74" s="158"/>
      <c r="E74" s="158"/>
      <c r="F74" s="158" t="s">
        <v>146</v>
      </c>
      <c r="G74" s="158"/>
      <c r="H74" s="158"/>
      <c r="I74" s="158" t="s">
        <v>147</v>
      </c>
      <c r="J74" s="158"/>
      <c r="K74" s="158"/>
      <c r="L74" s="158"/>
      <c r="M74" s="158" t="s">
        <v>148</v>
      </c>
      <c r="N74" s="158"/>
      <c r="O74" s="158" t="s">
        <v>149</v>
      </c>
      <c r="P74" s="158"/>
      <c r="Q74" s="158"/>
      <c r="R74" s="56" t="s">
        <v>103</v>
      </c>
      <c r="S74" s="159"/>
      <c r="T74" s="159"/>
      <c r="U74" s="56"/>
    </row>
    <row r="75" spans="1:21" ht="57" customHeight="1">
      <c r="A75" s="56">
        <v>16</v>
      </c>
      <c r="B75" s="57" t="s">
        <v>144</v>
      </c>
      <c r="C75" s="158" t="s">
        <v>150</v>
      </c>
      <c r="D75" s="158"/>
      <c r="E75" s="158"/>
      <c r="F75" s="158" t="s">
        <v>151</v>
      </c>
      <c r="G75" s="158"/>
      <c r="H75" s="158"/>
      <c r="I75" s="158" t="s">
        <v>152</v>
      </c>
      <c r="J75" s="158"/>
      <c r="K75" s="158"/>
      <c r="L75" s="158"/>
      <c r="M75" s="158" t="s">
        <v>153</v>
      </c>
      <c r="N75" s="158"/>
      <c r="O75" s="158" t="s">
        <v>154</v>
      </c>
      <c r="P75" s="158"/>
      <c r="Q75" s="158"/>
      <c r="R75" s="56" t="s">
        <v>103</v>
      </c>
      <c r="S75" s="159"/>
      <c r="T75" s="159"/>
      <c r="U75" s="56"/>
    </row>
  </sheetData>
  <mergeCells count="259">
    <mergeCell ref="C75:E75"/>
    <mergeCell ref="F75:H75"/>
    <mergeCell ref="I75:L75"/>
    <mergeCell ref="M75:N75"/>
    <mergeCell ref="O75:Q75"/>
    <mergeCell ref="S75:T75"/>
    <mergeCell ref="C74:E74"/>
    <mergeCell ref="F74:H74"/>
    <mergeCell ref="I74:L74"/>
    <mergeCell ref="M74:N74"/>
    <mergeCell ref="O74:Q74"/>
    <mergeCell ref="S74:T74"/>
    <mergeCell ref="C73:E73"/>
    <mergeCell ref="F73:H73"/>
    <mergeCell ref="I73:L73"/>
    <mergeCell ref="M73:N73"/>
    <mergeCell ref="O73:Q73"/>
    <mergeCell ref="S73:T73"/>
    <mergeCell ref="C72:E72"/>
    <mergeCell ref="F72:H72"/>
    <mergeCell ref="I72:L72"/>
    <mergeCell ref="M72:N72"/>
    <mergeCell ref="O72:Q72"/>
    <mergeCell ref="S72:T72"/>
    <mergeCell ref="C71:E71"/>
    <mergeCell ref="F71:H71"/>
    <mergeCell ref="I71:L71"/>
    <mergeCell ref="M71:N71"/>
    <mergeCell ref="O71:Q71"/>
    <mergeCell ref="S71:T71"/>
    <mergeCell ref="C70:E70"/>
    <mergeCell ref="F70:H70"/>
    <mergeCell ref="I70:L70"/>
    <mergeCell ref="M70:N70"/>
    <mergeCell ref="O70:Q70"/>
    <mergeCell ref="S70:T70"/>
    <mergeCell ref="C69:E69"/>
    <mergeCell ref="F69:H69"/>
    <mergeCell ref="I69:L69"/>
    <mergeCell ref="M69:N69"/>
    <mergeCell ref="O69:Q69"/>
    <mergeCell ref="S69:T69"/>
    <mergeCell ref="C68:E68"/>
    <mergeCell ref="F68:H68"/>
    <mergeCell ref="I68:L68"/>
    <mergeCell ref="M68:N68"/>
    <mergeCell ref="O68:Q68"/>
    <mergeCell ref="S68:T68"/>
    <mergeCell ref="C67:E67"/>
    <mergeCell ref="F67:H67"/>
    <mergeCell ref="I67:L67"/>
    <mergeCell ref="M67:N67"/>
    <mergeCell ref="O67:Q67"/>
    <mergeCell ref="S67:T67"/>
    <mergeCell ref="C66:E66"/>
    <mergeCell ref="F66:H66"/>
    <mergeCell ref="I66:L66"/>
    <mergeCell ref="M66:N66"/>
    <mergeCell ref="O66:Q66"/>
    <mergeCell ref="S66:T66"/>
    <mergeCell ref="C65:E65"/>
    <mergeCell ref="F65:H65"/>
    <mergeCell ref="I65:L65"/>
    <mergeCell ref="M65:N65"/>
    <mergeCell ref="O65:Q65"/>
    <mergeCell ref="S65:T65"/>
    <mergeCell ref="C64:E64"/>
    <mergeCell ref="F64:H64"/>
    <mergeCell ref="I64:L64"/>
    <mergeCell ref="M64:N64"/>
    <mergeCell ref="O64:Q64"/>
    <mergeCell ref="S64:T64"/>
    <mergeCell ref="C63:E63"/>
    <mergeCell ref="F63:H63"/>
    <mergeCell ref="I63:L63"/>
    <mergeCell ref="M63:N63"/>
    <mergeCell ref="O63:Q63"/>
    <mergeCell ref="S63:T63"/>
    <mergeCell ref="C62:E62"/>
    <mergeCell ref="F62:H62"/>
    <mergeCell ref="I62:L62"/>
    <mergeCell ref="M62:N62"/>
    <mergeCell ref="O62:Q62"/>
    <mergeCell ref="S62:T62"/>
    <mergeCell ref="C61:E61"/>
    <mergeCell ref="F61:H61"/>
    <mergeCell ref="I61:L61"/>
    <mergeCell ref="M61:N61"/>
    <mergeCell ref="O61:Q61"/>
    <mergeCell ref="S61:T61"/>
    <mergeCell ref="C60:E60"/>
    <mergeCell ref="F60:H60"/>
    <mergeCell ref="I60:L60"/>
    <mergeCell ref="M60:N60"/>
    <mergeCell ref="O60:Q60"/>
    <mergeCell ref="S60:T60"/>
    <mergeCell ref="A58:U58"/>
    <mergeCell ref="C59:E59"/>
    <mergeCell ref="F59:H59"/>
    <mergeCell ref="I59:L59"/>
    <mergeCell ref="M59:N59"/>
    <mergeCell ref="O59:Q59"/>
    <mergeCell ref="S59:T59"/>
    <mergeCell ref="A55:B55"/>
    <mergeCell ref="C55:U55"/>
    <mergeCell ref="A56:B56"/>
    <mergeCell ref="C56:D56"/>
    <mergeCell ref="E56:U56"/>
    <mergeCell ref="A57:B57"/>
    <mergeCell ref="C57:D57"/>
    <mergeCell ref="E57:U57"/>
    <mergeCell ref="A52:B53"/>
    <mergeCell ref="C52:I52"/>
    <mergeCell ref="J52:U52"/>
    <mergeCell ref="C53:I53"/>
    <mergeCell ref="J53:U53"/>
    <mergeCell ref="A54:B54"/>
    <mergeCell ref="C54:U54"/>
    <mergeCell ref="A46:B51"/>
    <mergeCell ref="C46:E46"/>
    <mergeCell ref="F46:U46"/>
    <mergeCell ref="C47:U47"/>
    <mergeCell ref="C48:U48"/>
    <mergeCell ref="C49:E49"/>
    <mergeCell ref="F49:U49"/>
    <mergeCell ref="C50:U50"/>
    <mergeCell ref="C51:U51"/>
    <mergeCell ref="C45:D45"/>
    <mergeCell ref="E45:G45"/>
    <mergeCell ref="I45:M45"/>
    <mergeCell ref="N45:O45"/>
    <mergeCell ref="P45:R45"/>
    <mergeCell ref="S45:U45"/>
    <mergeCell ref="C44:D44"/>
    <mergeCell ref="E44:G44"/>
    <mergeCell ref="I44:M44"/>
    <mergeCell ref="N44:O44"/>
    <mergeCell ref="P44:R44"/>
    <mergeCell ref="S44:U44"/>
    <mergeCell ref="C43:D43"/>
    <mergeCell ref="E43:G43"/>
    <mergeCell ref="I43:M43"/>
    <mergeCell ref="N43:O43"/>
    <mergeCell ref="P43:R43"/>
    <mergeCell ref="S43:U43"/>
    <mergeCell ref="C42:D42"/>
    <mergeCell ref="E42:G42"/>
    <mergeCell ref="I42:M42"/>
    <mergeCell ref="N42:O42"/>
    <mergeCell ref="P42:R42"/>
    <mergeCell ref="S42:U42"/>
    <mergeCell ref="C41:D41"/>
    <mergeCell ref="E41:G41"/>
    <mergeCell ref="I41:M41"/>
    <mergeCell ref="N41:O41"/>
    <mergeCell ref="P41:R41"/>
    <mergeCell ref="S41:U41"/>
    <mergeCell ref="C40:D40"/>
    <mergeCell ref="E40:G40"/>
    <mergeCell ref="I40:M40"/>
    <mergeCell ref="N40:O40"/>
    <mergeCell ref="P40:R40"/>
    <mergeCell ref="S40:U40"/>
    <mergeCell ref="C39:D39"/>
    <mergeCell ref="E39:G39"/>
    <mergeCell ref="I39:M39"/>
    <mergeCell ref="N39:O39"/>
    <mergeCell ref="P39:R39"/>
    <mergeCell ref="S39:U39"/>
    <mergeCell ref="S37:U37"/>
    <mergeCell ref="C38:D38"/>
    <mergeCell ref="E38:G38"/>
    <mergeCell ref="I38:M38"/>
    <mergeCell ref="N38:O38"/>
    <mergeCell ref="P38:R38"/>
    <mergeCell ref="S38:U38"/>
    <mergeCell ref="S33:U33"/>
    <mergeCell ref="A34:B45"/>
    <mergeCell ref="C34:D36"/>
    <mergeCell ref="E34:R34"/>
    <mergeCell ref="S34:U36"/>
    <mergeCell ref="E35:M35"/>
    <mergeCell ref="N35:R35"/>
    <mergeCell ref="E36:G36"/>
    <mergeCell ref="C31:D31"/>
    <mergeCell ref="E31:R31"/>
    <mergeCell ref="S31:U31"/>
    <mergeCell ref="C32:D32"/>
    <mergeCell ref="E32:R32"/>
    <mergeCell ref="S32:U32"/>
    <mergeCell ref="I36:M36"/>
    <mergeCell ref="N36:O36"/>
    <mergeCell ref="P36:R36"/>
    <mergeCell ref="C37:D37"/>
    <mergeCell ref="E37:G37"/>
    <mergeCell ref="I37:M37"/>
    <mergeCell ref="N37:O37"/>
    <mergeCell ref="P37:R37"/>
    <mergeCell ref="C33:D33"/>
    <mergeCell ref="E33:R33"/>
    <mergeCell ref="C30:D30"/>
    <mergeCell ref="E30:R30"/>
    <mergeCell ref="S30:U30"/>
    <mergeCell ref="C27:D27"/>
    <mergeCell ref="E27:R27"/>
    <mergeCell ref="S27:U27"/>
    <mergeCell ref="C28:D28"/>
    <mergeCell ref="E28:R28"/>
    <mergeCell ref="S28:U28"/>
    <mergeCell ref="A13:B15"/>
    <mergeCell ref="C13:U15"/>
    <mergeCell ref="A16:B33"/>
    <mergeCell ref="C16:U16"/>
    <mergeCell ref="C17:D19"/>
    <mergeCell ref="E17:U19"/>
    <mergeCell ref="C20:D20"/>
    <mergeCell ref="E20:U20"/>
    <mergeCell ref="C21:D21"/>
    <mergeCell ref="E21:U21"/>
    <mergeCell ref="C25:R25"/>
    <mergeCell ref="S25:U25"/>
    <mergeCell ref="C26:D26"/>
    <mergeCell ref="E26:R26"/>
    <mergeCell ref="S26:U26"/>
    <mergeCell ref="C22:D22"/>
    <mergeCell ref="E22:U22"/>
    <mergeCell ref="C23:D23"/>
    <mergeCell ref="E23:U23"/>
    <mergeCell ref="C24:D24"/>
    <mergeCell ref="E24:U24"/>
    <mergeCell ref="C29:D29"/>
    <mergeCell ref="E29:R29"/>
    <mergeCell ref="S29:U29"/>
    <mergeCell ref="A8:B12"/>
    <mergeCell ref="C8:H8"/>
    <mergeCell ref="I8:P8"/>
    <mergeCell ref="Q8:U8"/>
    <mergeCell ref="C9:H12"/>
    <mergeCell ref="I9:P12"/>
    <mergeCell ref="Q9:U12"/>
    <mergeCell ref="T4:U4"/>
    <mergeCell ref="C5:C7"/>
    <mergeCell ref="D5:F7"/>
    <mergeCell ref="G5:H7"/>
    <mergeCell ref="I5:K7"/>
    <mergeCell ref="L5:M7"/>
    <mergeCell ref="N5:P7"/>
    <mergeCell ref="Q5:S7"/>
    <mergeCell ref="T5:U7"/>
    <mergeCell ref="A1:B3"/>
    <mergeCell ref="C1:U1"/>
    <mergeCell ref="C2:U2"/>
    <mergeCell ref="C3:U3"/>
    <mergeCell ref="A4:B7"/>
    <mergeCell ref="D4:F4"/>
    <mergeCell ref="G4:H4"/>
    <mergeCell ref="I4:K4"/>
    <mergeCell ref="L4:P4"/>
    <mergeCell ref="Q4:S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2376-6C06-4AA6-BB98-084E635404BF}">
  <dimension ref="A1:L19"/>
  <sheetViews>
    <sheetView workbookViewId="0">
      <pane ySplit="2" topLeftCell="A3" activePane="bottomLeft" state="frozen"/>
      <selection pane="bottomLeft" activeCell="A16" sqref="A16:A17"/>
    </sheetView>
  </sheetViews>
  <sheetFormatPr defaultRowHeight="15"/>
  <cols>
    <col min="1" max="1" width="9.140625" style="40"/>
    <col min="2" max="2" width="32.7109375" style="5" customWidth="1"/>
    <col min="3" max="3" width="22.28515625" style="8" customWidth="1"/>
    <col min="4" max="4" width="23.5703125" style="4" customWidth="1"/>
    <col min="5" max="5" width="21.140625" style="4" customWidth="1"/>
    <col min="6" max="6" width="29.85546875" style="4" customWidth="1"/>
    <col min="7" max="7" width="31.5703125" style="17" customWidth="1"/>
    <col min="8" max="8" width="32.7109375" style="4" customWidth="1"/>
    <col min="9" max="9" width="40.42578125" style="4" customWidth="1"/>
    <col min="10" max="10" width="30.140625" style="4" customWidth="1"/>
    <col min="11" max="11" width="28.42578125" style="4" customWidth="1"/>
    <col min="12" max="12" width="28.85546875" style="4" customWidth="1"/>
    <col min="13" max="16384" width="9.140625" style="4"/>
  </cols>
  <sheetData>
    <row r="1" spans="1:12" s="40" customFormat="1">
      <c r="A1" s="164" t="s">
        <v>155</v>
      </c>
      <c r="B1" s="168" t="s">
        <v>156</v>
      </c>
      <c r="C1" s="166" t="s">
        <v>157</v>
      </c>
      <c r="D1" s="164" t="s">
        <v>158</v>
      </c>
      <c r="E1" s="7" t="s">
        <v>159</v>
      </c>
      <c r="F1" s="7">
        <v>50</v>
      </c>
      <c r="G1" s="7">
        <v>65</v>
      </c>
      <c r="H1" s="7">
        <v>75</v>
      </c>
      <c r="I1" s="7">
        <v>85</v>
      </c>
      <c r="J1" s="7">
        <v>95</v>
      </c>
    </row>
    <row r="2" spans="1:12" s="3" customFormat="1">
      <c r="A2" s="165"/>
      <c r="B2" s="169"/>
      <c r="C2" s="167"/>
      <c r="D2" s="165"/>
      <c r="E2" s="34">
        <v>0</v>
      </c>
      <c r="F2" s="34">
        <v>1</v>
      </c>
      <c r="G2" s="34">
        <v>2</v>
      </c>
      <c r="H2" s="34">
        <v>3</v>
      </c>
      <c r="I2" s="34">
        <v>4</v>
      </c>
      <c r="J2" s="34">
        <v>5</v>
      </c>
    </row>
    <row r="3" spans="1:12" ht="152.25" customHeight="1">
      <c r="A3" s="164" t="s">
        <v>160</v>
      </c>
      <c r="B3" s="36" t="s">
        <v>161</v>
      </c>
      <c r="C3" s="37" t="s">
        <v>162</v>
      </c>
      <c r="D3" s="38" t="s">
        <v>163</v>
      </c>
      <c r="E3" s="38"/>
      <c r="F3" s="30" t="s">
        <v>164</v>
      </c>
      <c r="G3" s="41" t="s">
        <v>165</v>
      </c>
      <c r="H3" s="42" t="s">
        <v>166</v>
      </c>
      <c r="I3" s="30" t="s">
        <v>167</v>
      </c>
      <c r="J3" s="30" t="s">
        <v>168</v>
      </c>
      <c r="K3" s="5"/>
      <c r="L3" s="5"/>
    </row>
    <row r="4" spans="1:12" ht="98.25" customHeight="1">
      <c r="A4" s="165"/>
      <c r="B4" s="30"/>
      <c r="C4" s="37" t="s">
        <v>169</v>
      </c>
      <c r="D4" s="38"/>
      <c r="E4" s="38"/>
      <c r="F4" s="43" t="s">
        <v>170</v>
      </c>
      <c r="G4" s="43" t="s">
        <v>171</v>
      </c>
      <c r="H4" s="43" t="s">
        <v>172</v>
      </c>
      <c r="I4" s="43" t="s">
        <v>173</v>
      </c>
      <c r="J4" s="43" t="s">
        <v>174</v>
      </c>
    </row>
    <row r="5" spans="1:12" ht="135">
      <c r="A5" s="164" t="s">
        <v>175</v>
      </c>
      <c r="B5" s="30" t="s">
        <v>176</v>
      </c>
      <c r="C5" s="37" t="s">
        <v>177</v>
      </c>
      <c r="D5" s="26"/>
      <c r="E5" s="26"/>
      <c r="F5" s="44" t="s">
        <v>178</v>
      </c>
      <c r="G5" s="44" t="s">
        <v>179</v>
      </c>
      <c r="H5" s="44" t="s">
        <v>180</v>
      </c>
      <c r="I5" s="44" t="s">
        <v>181</v>
      </c>
      <c r="J5" s="44" t="s">
        <v>182</v>
      </c>
    </row>
    <row r="6" spans="1:12" ht="30">
      <c r="A6" s="165"/>
      <c r="B6" s="30"/>
      <c r="C6" s="37" t="s">
        <v>169</v>
      </c>
      <c r="D6" s="26"/>
      <c r="E6" s="26"/>
      <c r="F6" s="44"/>
      <c r="G6" s="44"/>
      <c r="H6" s="44"/>
      <c r="I6" s="44"/>
      <c r="J6" s="44"/>
    </row>
    <row r="7" spans="1:12" ht="105">
      <c r="A7" s="164" t="s">
        <v>183</v>
      </c>
      <c r="B7" s="30" t="s">
        <v>184</v>
      </c>
      <c r="C7" s="37" t="s">
        <v>177</v>
      </c>
      <c r="D7" s="30" t="s">
        <v>185</v>
      </c>
      <c r="E7" s="30" t="s">
        <v>186</v>
      </c>
      <c r="F7" s="30" t="s">
        <v>187</v>
      </c>
      <c r="G7" s="41" t="s">
        <v>188</v>
      </c>
      <c r="H7" s="30" t="s">
        <v>189</v>
      </c>
      <c r="I7" s="30" t="s">
        <v>190</v>
      </c>
      <c r="J7" s="30" t="s">
        <v>191</v>
      </c>
    </row>
    <row r="8" spans="1:12" ht="30">
      <c r="A8" s="165"/>
      <c r="B8" s="30"/>
      <c r="C8" s="37" t="s">
        <v>192</v>
      </c>
      <c r="D8" s="30"/>
      <c r="E8" s="30"/>
      <c r="F8" s="30"/>
      <c r="G8" s="41"/>
      <c r="H8" s="30"/>
      <c r="I8" s="30"/>
      <c r="J8" s="30"/>
    </row>
    <row r="9" spans="1:12" ht="120">
      <c r="A9" s="164" t="s">
        <v>193</v>
      </c>
      <c r="B9" s="30" t="s">
        <v>194</v>
      </c>
      <c r="C9" s="37" t="s">
        <v>177</v>
      </c>
      <c r="D9" s="30" t="s">
        <v>195</v>
      </c>
      <c r="E9" s="30" t="s">
        <v>196</v>
      </c>
      <c r="F9" s="30" t="s">
        <v>197</v>
      </c>
      <c r="G9" s="41" t="s">
        <v>198</v>
      </c>
      <c r="H9" s="30" t="s">
        <v>199</v>
      </c>
      <c r="I9" s="30" t="s">
        <v>200</v>
      </c>
      <c r="J9" s="30" t="s">
        <v>201</v>
      </c>
    </row>
    <row r="10" spans="1:12" ht="30">
      <c r="A10" s="165"/>
      <c r="B10" s="30"/>
      <c r="C10" s="37" t="s">
        <v>192</v>
      </c>
      <c r="D10" s="30"/>
      <c r="E10" s="30"/>
      <c r="F10" s="30"/>
      <c r="G10" s="41"/>
      <c r="H10" s="30"/>
      <c r="I10" s="30"/>
      <c r="J10" s="30"/>
    </row>
    <row r="11" spans="1:12" ht="126" customHeight="1">
      <c r="A11" s="164" t="s">
        <v>202</v>
      </c>
      <c r="B11" s="30" t="s">
        <v>203</v>
      </c>
      <c r="C11" s="37" t="s">
        <v>204</v>
      </c>
      <c r="D11" s="30" t="s">
        <v>205</v>
      </c>
      <c r="E11" s="39" t="s">
        <v>206</v>
      </c>
      <c r="F11" s="39" t="s">
        <v>207</v>
      </c>
      <c r="G11" s="45" t="s">
        <v>208</v>
      </c>
      <c r="H11" s="46" t="s">
        <v>209</v>
      </c>
      <c r="I11" s="46" t="s">
        <v>210</v>
      </c>
      <c r="J11" s="46" t="s">
        <v>211</v>
      </c>
      <c r="K11" s="4" t="s">
        <v>212</v>
      </c>
    </row>
    <row r="12" spans="1:12" ht="30">
      <c r="A12" s="170"/>
      <c r="B12" s="30"/>
      <c r="C12" s="37" t="s">
        <v>177</v>
      </c>
      <c r="D12" s="30"/>
      <c r="E12" s="26"/>
      <c r="F12" s="26"/>
      <c r="G12" s="35"/>
      <c r="H12" s="26"/>
      <c r="I12" s="26"/>
      <c r="J12" s="26"/>
    </row>
    <row r="13" spans="1:12" ht="30">
      <c r="A13" s="165"/>
      <c r="B13" s="30"/>
      <c r="C13" s="37" t="s">
        <v>192</v>
      </c>
      <c r="D13" s="30"/>
      <c r="E13" s="26"/>
      <c r="F13" s="26"/>
      <c r="G13" s="35"/>
      <c r="H13" s="26"/>
      <c r="I13" s="26"/>
      <c r="J13" s="26"/>
    </row>
    <row r="14" spans="1:12" ht="75">
      <c r="A14" s="164" t="s">
        <v>213</v>
      </c>
      <c r="B14" s="30" t="s">
        <v>214</v>
      </c>
      <c r="C14" s="37" t="s">
        <v>215</v>
      </c>
      <c r="D14" s="30" t="s">
        <v>216</v>
      </c>
      <c r="E14" s="26" t="s">
        <v>217</v>
      </c>
      <c r="F14" s="47" t="s">
        <v>218</v>
      </c>
      <c r="G14" s="48" t="s">
        <v>219</v>
      </c>
      <c r="H14" s="49" t="s">
        <v>220</v>
      </c>
      <c r="I14" s="49" t="s">
        <v>221</v>
      </c>
      <c r="J14" s="49" t="s">
        <v>222</v>
      </c>
    </row>
    <row r="15" spans="1:12" ht="180">
      <c r="A15" s="165"/>
      <c r="B15" s="30"/>
      <c r="C15" s="37" t="s">
        <v>169</v>
      </c>
      <c r="D15" s="30" t="s">
        <v>223</v>
      </c>
      <c r="E15" s="26" t="s">
        <v>224</v>
      </c>
      <c r="F15" s="30" t="s">
        <v>225</v>
      </c>
      <c r="G15" s="41" t="s">
        <v>226</v>
      </c>
      <c r="H15" s="50" t="s">
        <v>227</v>
      </c>
      <c r="I15" s="50" t="s">
        <v>228</v>
      </c>
      <c r="J15" s="50" t="s">
        <v>229</v>
      </c>
    </row>
    <row r="16" spans="1:12" ht="60">
      <c r="A16" s="164" t="s">
        <v>230</v>
      </c>
      <c r="B16" s="30" t="s">
        <v>231</v>
      </c>
      <c r="C16" s="37"/>
      <c r="D16" s="30" t="s">
        <v>232</v>
      </c>
      <c r="E16" s="26"/>
      <c r="F16" s="51" t="s">
        <v>233</v>
      </c>
      <c r="G16" s="51" t="s">
        <v>234</v>
      </c>
      <c r="H16" s="51" t="s">
        <v>235</v>
      </c>
      <c r="I16" s="51" t="s">
        <v>236</v>
      </c>
      <c r="J16" s="51" t="s">
        <v>237</v>
      </c>
    </row>
    <row r="17" spans="1:10" ht="82.5" customHeight="1">
      <c r="A17" s="165"/>
      <c r="B17" s="30"/>
      <c r="C17" s="37"/>
      <c r="D17" s="26" t="s">
        <v>238</v>
      </c>
      <c r="E17" s="26"/>
      <c r="F17" s="51" t="s">
        <v>239</v>
      </c>
      <c r="G17" s="51" t="s">
        <v>240</v>
      </c>
      <c r="H17" s="51" t="s">
        <v>241</v>
      </c>
      <c r="I17" s="51" t="s">
        <v>242</v>
      </c>
      <c r="J17" s="51" t="s">
        <v>243</v>
      </c>
    </row>
    <row r="18" spans="1:10" ht="135">
      <c r="A18" s="7" t="s">
        <v>244</v>
      </c>
      <c r="B18" s="36" t="s">
        <v>245</v>
      </c>
      <c r="C18" s="37" t="s">
        <v>162</v>
      </c>
      <c r="D18" s="26"/>
      <c r="E18" s="26"/>
      <c r="F18" s="30" t="s">
        <v>246</v>
      </c>
      <c r="G18" s="30" t="s">
        <v>247</v>
      </c>
      <c r="H18" s="30" t="s">
        <v>248</v>
      </c>
      <c r="I18" s="30" t="s">
        <v>249</v>
      </c>
      <c r="J18" s="30" t="s">
        <v>250</v>
      </c>
    </row>
    <row r="19" spans="1:10">
      <c r="I19" s="5"/>
    </row>
  </sheetData>
  <mergeCells count="11">
    <mergeCell ref="D1:D2"/>
    <mergeCell ref="C1:C2"/>
    <mergeCell ref="B1:B2"/>
    <mergeCell ref="A1:A2"/>
    <mergeCell ref="A16:A17"/>
    <mergeCell ref="A3:A4"/>
    <mergeCell ref="A5:A6"/>
    <mergeCell ref="A7:A8"/>
    <mergeCell ref="A9:A10"/>
    <mergeCell ref="A11:A13"/>
    <mergeCell ref="A14:A1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12AB-9C06-4F60-B789-B31E9B916AAD}">
  <dimension ref="A1:E17"/>
  <sheetViews>
    <sheetView workbookViewId="0">
      <selection activeCell="C25" sqref="C25"/>
    </sheetView>
  </sheetViews>
  <sheetFormatPr defaultRowHeight="15"/>
  <cols>
    <col min="1" max="1" width="9.140625" style="4" bestFit="1" customWidth="1"/>
    <col min="2" max="2" width="46.5703125" style="24" customWidth="1"/>
    <col min="3" max="3" width="46.5703125" style="11" customWidth="1"/>
    <col min="4" max="4" width="9.140625" style="3"/>
    <col min="5" max="5" width="21.42578125" style="3" customWidth="1"/>
    <col min="16384" max="16384" width="9.140625" bestFit="1" customWidth="1"/>
  </cols>
  <sheetData>
    <row r="1" spans="1:5">
      <c r="A1" s="27" t="s">
        <v>155</v>
      </c>
      <c r="B1" s="7" t="s">
        <v>156</v>
      </c>
      <c r="C1" s="25" t="s">
        <v>251</v>
      </c>
      <c r="D1" s="28" t="s">
        <v>252</v>
      </c>
      <c r="E1" s="7" t="s">
        <v>253</v>
      </c>
    </row>
    <row r="2" spans="1:5" ht="45">
      <c r="A2" s="174" t="s">
        <v>160</v>
      </c>
      <c r="B2" s="177" t="s">
        <v>254</v>
      </c>
      <c r="C2" s="21" t="s">
        <v>255</v>
      </c>
      <c r="D2" s="29">
        <v>5</v>
      </c>
      <c r="E2" s="171">
        <f>SUM(D2:D4)</f>
        <v>15</v>
      </c>
    </row>
    <row r="3" spans="1:5" ht="30">
      <c r="A3" s="175"/>
      <c r="B3" s="178"/>
      <c r="C3" s="21" t="s">
        <v>256</v>
      </c>
      <c r="D3" s="29">
        <v>5</v>
      </c>
      <c r="E3" s="171"/>
    </row>
    <row r="4" spans="1:5" ht="38.25" customHeight="1">
      <c r="A4" s="176"/>
      <c r="B4" s="179"/>
      <c r="C4" s="21" t="s">
        <v>257</v>
      </c>
      <c r="D4" s="29">
        <v>5</v>
      </c>
      <c r="E4" s="171"/>
    </row>
    <row r="5" spans="1:5" ht="57.75" customHeight="1">
      <c r="A5" s="172" t="s">
        <v>175</v>
      </c>
      <c r="B5" s="173" t="s">
        <v>176</v>
      </c>
      <c r="C5" s="21" t="s">
        <v>258</v>
      </c>
      <c r="D5" s="29">
        <v>10</v>
      </c>
      <c r="E5" s="171">
        <f>SUM(D5:D6)</f>
        <v>20</v>
      </c>
    </row>
    <row r="6" spans="1:5" ht="30">
      <c r="A6" s="172"/>
      <c r="B6" s="173"/>
      <c r="C6" s="21" t="s">
        <v>259</v>
      </c>
      <c r="D6" s="29">
        <v>10</v>
      </c>
      <c r="E6" s="171"/>
    </row>
    <row r="7" spans="1:5" ht="29.25" customHeight="1">
      <c r="A7" s="172" t="s">
        <v>183</v>
      </c>
      <c r="B7" s="173" t="s">
        <v>184</v>
      </c>
      <c r="C7" s="21" t="s">
        <v>260</v>
      </c>
      <c r="D7" s="29">
        <v>7</v>
      </c>
      <c r="E7" s="164">
        <f>SUM(D7:D8)</f>
        <v>15</v>
      </c>
    </row>
    <row r="8" spans="1:5" ht="45">
      <c r="A8" s="172"/>
      <c r="B8" s="173"/>
      <c r="C8" s="21" t="s">
        <v>261</v>
      </c>
      <c r="D8" s="29">
        <v>8</v>
      </c>
      <c r="E8" s="165"/>
    </row>
    <row r="9" spans="1:5" ht="45">
      <c r="A9" s="172" t="s">
        <v>193</v>
      </c>
      <c r="B9" s="173" t="s">
        <v>194</v>
      </c>
      <c r="C9" s="21" t="s">
        <v>262</v>
      </c>
      <c r="D9" s="29">
        <v>7</v>
      </c>
      <c r="E9" s="164">
        <f>SUM(D9:D10)</f>
        <v>15</v>
      </c>
    </row>
    <row r="10" spans="1:5" ht="30">
      <c r="A10" s="172"/>
      <c r="B10" s="173"/>
      <c r="C10" s="21" t="s">
        <v>263</v>
      </c>
      <c r="D10" s="29">
        <v>8</v>
      </c>
      <c r="E10" s="165"/>
    </row>
    <row r="11" spans="1:5">
      <c r="A11" s="26" t="s">
        <v>202</v>
      </c>
      <c r="B11" s="23" t="s">
        <v>203</v>
      </c>
      <c r="C11" s="21"/>
      <c r="D11" s="29">
        <v>10</v>
      </c>
      <c r="E11" s="7">
        <f>D11</f>
        <v>10</v>
      </c>
    </row>
    <row r="12" spans="1:5" ht="30">
      <c r="A12" s="172" t="s">
        <v>213</v>
      </c>
      <c r="B12" s="173" t="s">
        <v>214</v>
      </c>
      <c r="C12" s="6" t="s">
        <v>264</v>
      </c>
      <c r="D12" s="29">
        <v>5</v>
      </c>
      <c r="E12" s="164">
        <f>SUM(D12:D13)</f>
        <v>10</v>
      </c>
    </row>
    <row r="13" spans="1:5" ht="30">
      <c r="A13" s="172"/>
      <c r="B13" s="173"/>
      <c r="C13" s="22" t="s">
        <v>265</v>
      </c>
      <c r="D13" s="29">
        <v>5</v>
      </c>
      <c r="E13" s="165"/>
    </row>
    <row r="14" spans="1:5" ht="45">
      <c r="A14" s="172" t="s">
        <v>230</v>
      </c>
      <c r="B14" s="173" t="s">
        <v>231</v>
      </c>
      <c r="C14" s="21" t="s">
        <v>266</v>
      </c>
      <c r="D14" s="29">
        <v>5</v>
      </c>
      <c r="E14" s="164">
        <f>SUM(D14:D15)</f>
        <v>10</v>
      </c>
    </row>
    <row r="15" spans="1:5" ht="30">
      <c r="A15" s="172"/>
      <c r="B15" s="173"/>
      <c r="C15" s="21" t="s">
        <v>267</v>
      </c>
      <c r="D15" s="29">
        <v>5</v>
      </c>
      <c r="E15" s="165"/>
    </row>
    <row r="16" spans="1:5">
      <c r="A16" s="26" t="s">
        <v>244</v>
      </c>
      <c r="B16" s="23"/>
      <c r="C16" s="21"/>
      <c r="D16" s="3">
        <v>5</v>
      </c>
      <c r="E16" s="7">
        <f>D16</f>
        <v>5</v>
      </c>
    </row>
    <row r="17" spans="4:5">
      <c r="D17" s="28">
        <f>SUM(D2:D16)</f>
        <v>100</v>
      </c>
      <c r="E17" s="7">
        <f>SUM(E2:E16)</f>
        <v>100</v>
      </c>
    </row>
  </sheetData>
  <mergeCells count="18">
    <mergeCell ref="A12:A13"/>
    <mergeCell ref="A14:A15"/>
    <mergeCell ref="B14:B15"/>
    <mergeCell ref="B12:B13"/>
    <mergeCell ref="B9:B10"/>
    <mergeCell ref="A9:A10"/>
    <mergeCell ref="A5:A6"/>
    <mergeCell ref="B5:B6"/>
    <mergeCell ref="A7:A8"/>
    <mergeCell ref="B7:B8"/>
    <mergeCell ref="A2:A4"/>
    <mergeCell ref="B2:B4"/>
    <mergeCell ref="E14:E15"/>
    <mergeCell ref="E2:E4"/>
    <mergeCell ref="E5:E6"/>
    <mergeCell ref="E7:E8"/>
    <mergeCell ref="E9:E10"/>
    <mergeCell ref="E12:E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E785-828C-48D3-8398-5FDBDC5DF804}">
  <dimension ref="A1:F21"/>
  <sheetViews>
    <sheetView workbookViewId="0">
      <pane ySplit="3" topLeftCell="A9" activePane="bottomLeft" state="frozen"/>
      <selection pane="bottomLeft" activeCell="B21" sqref="B21"/>
    </sheetView>
  </sheetViews>
  <sheetFormatPr defaultRowHeight="15"/>
  <cols>
    <col min="1" max="1" width="85.28515625" customWidth="1"/>
    <col min="2" max="2" width="25.7109375" style="2" customWidth="1"/>
    <col min="3" max="3" width="18.5703125" style="1" customWidth="1"/>
    <col min="4" max="4" width="24.140625" customWidth="1"/>
    <col min="5" max="5" width="27.7109375" customWidth="1"/>
    <col min="6" max="6" width="26.85546875" customWidth="1"/>
  </cols>
  <sheetData>
    <row r="1" spans="1:6">
      <c r="A1" s="20" t="s">
        <v>268</v>
      </c>
    </row>
    <row r="2" spans="1:6">
      <c r="A2" s="2"/>
    </row>
    <row r="3" spans="1:6">
      <c r="A3" s="10" t="s">
        <v>269</v>
      </c>
      <c r="B3" s="18" t="s">
        <v>270</v>
      </c>
      <c r="C3" s="1" t="s">
        <v>157</v>
      </c>
      <c r="D3" t="s">
        <v>271</v>
      </c>
    </row>
    <row r="4" spans="1:6">
      <c r="A4" t="s">
        <v>272</v>
      </c>
      <c r="B4" s="2" t="s">
        <v>273</v>
      </c>
      <c r="D4" t="s">
        <v>274</v>
      </c>
      <c r="E4" t="s">
        <v>275</v>
      </c>
      <c r="F4" t="s">
        <v>276</v>
      </c>
    </row>
    <row r="5" spans="1:6">
      <c r="A5" t="s">
        <v>277</v>
      </c>
      <c r="B5" s="2" t="s">
        <v>278</v>
      </c>
    </row>
    <row r="6" spans="1:6">
      <c r="A6" s="9"/>
      <c r="B6" s="19"/>
    </row>
    <row r="7" spans="1:6">
      <c r="A7" t="s">
        <v>279</v>
      </c>
      <c r="B7" s="2" t="s">
        <v>280</v>
      </c>
    </row>
    <row r="8" spans="1:6">
      <c r="A8" t="s">
        <v>281</v>
      </c>
      <c r="B8" s="2" t="s">
        <v>282</v>
      </c>
    </row>
    <row r="9" spans="1:6" ht="30">
      <c r="A9" t="s">
        <v>283</v>
      </c>
      <c r="B9" s="2" t="s">
        <v>284</v>
      </c>
      <c r="C9" s="1" t="s">
        <v>285</v>
      </c>
    </row>
    <row r="10" spans="1:6">
      <c r="A10" t="s">
        <v>286</v>
      </c>
      <c r="B10" s="2" t="s">
        <v>287</v>
      </c>
      <c r="C10" s="1" t="s">
        <v>64</v>
      </c>
    </row>
    <row r="11" spans="1:6">
      <c r="A11" t="s">
        <v>288</v>
      </c>
      <c r="B11" s="2" t="s">
        <v>289</v>
      </c>
    </row>
    <row r="12" spans="1:6">
      <c r="A12" t="s">
        <v>290</v>
      </c>
      <c r="B12" s="2" t="s">
        <v>291</v>
      </c>
    </row>
    <row r="13" spans="1:6">
      <c r="A13" t="s">
        <v>292</v>
      </c>
      <c r="B13" s="2" t="s">
        <v>293</v>
      </c>
    </row>
    <row r="14" spans="1:6">
      <c r="A14" t="s">
        <v>294</v>
      </c>
      <c r="B14" s="2" t="s">
        <v>295</v>
      </c>
    </row>
    <row r="15" spans="1:6">
      <c r="A15" t="s">
        <v>296</v>
      </c>
      <c r="B15" s="2" t="s">
        <v>297</v>
      </c>
    </row>
    <row r="16" spans="1:6">
      <c r="A16" t="s">
        <v>298</v>
      </c>
      <c r="B16" s="2" t="s">
        <v>299</v>
      </c>
      <c r="C16" s="1" t="s">
        <v>65</v>
      </c>
    </row>
    <row r="17" spans="1:3">
      <c r="A17" t="s">
        <v>300</v>
      </c>
      <c r="B17" s="2" t="s">
        <v>301</v>
      </c>
    </row>
    <row r="18" spans="1:3">
      <c r="A18" t="s">
        <v>302</v>
      </c>
      <c r="B18" s="2" t="s">
        <v>303</v>
      </c>
    </row>
    <row r="19" spans="1:3">
      <c r="A19" t="s">
        <v>304</v>
      </c>
      <c r="B19" s="2" t="s">
        <v>305</v>
      </c>
    </row>
    <row r="20" spans="1:3" ht="30">
      <c r="A20" t="s">
        <v>306</v>
      </c>
      <c r="B20" s="2" t="s">
        <v>307</v>
      </c>
      <c r="C20" s="1" t="s">
        <v>308</v>
      </c>
    </row>
    <row r="21" spans="1:3">
      <c r="A21" t="s">
        <v>309</v>
      </c>
      <c r="B21" s="2" t="s">
        <v>310</v>
      </c>
      <c r="C21" s="1" t="s">
        <v>311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C909A-9F29-43FF-8766-7F2F078F5427}">
  <dimension ref="A1:D11"/>
  <sheetViews>
    <sheetView topLeftCell="C1" workbookViewId="0">
      <selection activeCell="G2" sqref="G2"/>
    </sheetView>
  </sheetViews>
  <sheetFormatPr defaultColWidth="9.140625" defaultRowHeight="15"/>
  <cols>
    <col min="1" max="1" width="74.7109375" style="1" customWidth="1"/>
    <col min="2" max="2" width="44.7109375" customWidth="1"/>
    <col min="3" max="3" width="5.5703125" style="3" customWidth="1"/>
    <col min="4" max="4" width="50" style="4" customWidth="1"/>
  </cols>
  <sheetData>
    <row r="1" spans="1:4">
      <c r="A1" s="1" t="s">
        <v>312</v>
      </c>
      <c r="B1" t="s">
        <v>313</v>
      </c>
      <c r="C1" s="7" t="s">
        <v>314</v>
      </c>
      <c r="D1" s="7" t="s">
        <v>315</v>
      </c>
    </row>
    <row r="2" spans="1:4" ht="60">
      <c r="A2" s="15" t="s">
        <v>316</v>
      </c>
      <c r="B2" s="1" t="s">
        <v>317</v>
      </c>
      <c r="C2" s="31">
        <v>1</v>
      </c>
      <c r="D2" s="30" t="s">
        <v>318</v>
      </c>
    </row>
    <row r="3" spans="1:4" ht="60">
      <c r="A3" s="12" t="s">
        <v>319</v>
      </c>
      <c r="B3" s="1" t="s">
        <v>320</v>
      </c>
      <c r="C3" s="31">
        <v>2</v>
      </c>
      <c r="D3" s="30" t="s">
        <v>321</v>
      </c>
    </row>
    <row r="4" spans="1:4" ht="75">
      <c r="A4" s="14" t="s">
        <v>322</v>
      </c>
      <c r="B4" s="13" t="s">
        <v>323</v>
      </c>
      <c r="C4" s="32">
        <v>3</v>
      </c>
      <c r="D4" s="30" t="s">
        <v>324</v>
      </c>
    </row>
    <row r="5" spans="1:4" ht="45">
      <c r="A5" s="14" t="s">
        <v>325</v>
      </c>
      <c r="B5" s="1" t="s">
        <v>326</v>
      </c>
      <c r="C5" s="31">
        <v>4</v>
      </c>
      <c r="D5" s="30" t="s">
        <v>327</v>
      </c>
    </row>
    <row r="6" spans="1:4" ht="45">
      <c r="A6" s="16" t="s">
        <v>328</v>
      </c>
      <c r="B6" s="1"/>
      <c r="C6" s="31">
        <v>5</v>
      </c>
      <c r="D6" s="30" t="s">
        <v>329</v>
      </c>
    </row>
    <row r="7" spans="1:4">
      <c r="A7" s="16" t="s">
        <v>330</v>
      </c>
      <c r="B7" s="1"/>
      <c r="C7" s="33"/>
    </row>
    <row r="8" spans="1:4">
      <c r="A8" s="15" t="s">
        <v>331</v>
      </c>
      <c r="B8" s="1"/>
      <c r="C8" s="33"/>
    </row>
    <row r="9" spans="1:4" ht="30">
      <c r="A9" s="15" t="s">
        <v>332</v>
      </c>
      <c r="B9" s="1"/>
      <c r="C9" s="33"/>
    </row>
    <row r="10" spans="1:4">
      <c r="A10" s="16" t="s">
        <v>333</v>
      </c>
      <c r="B10" s="1"/>
      <c r="C10" s="33"/>
    </row>
    <row r="11" spans="1:4">
      <c r="A11" s="12" t="s">
        <v>334</v>
      </c>
      <c r="B11" s="1"/>
      <c r="C11"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2024-07-08T07:45:26Z</dcterms:created>
  <dcterms:modified xsi:type="dcterms:W3CDTF">2025-03-12T05:17:13Z</dcterms:modified>
  <cp:category/>
  <cp:contentStatus/>
</cp:coreProperties>
</file>
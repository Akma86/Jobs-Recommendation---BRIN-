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/>
  <mc:AlternateContent xmlns:mc="http://schemas.openxmlformats.org/markup-compatibility/2006">
    <mc:Choice Requires="x15">
      <x15ac:absPath xmlns:x15ac="http://schemas.microsoft.com/office/spreadsheetml/2010/11/ac" url="E:\Documents\MKPAI TAHUN 2022\RPS BARU\RPS baru 2024\"/>
    </mc:Choice>
  </mc:AlternateContent>
  <xr:revisionPtr revIDLastSave="159" documentId="13_ncr:1_{7244076B-DA6F-4A3A-8293-383DC2A8DEA5}" xr6:coauthVersionLast="47" xr6:coauthVersionMax="47" xr10:uidLastSave="{BEAB6027-C77F-4687-AA3C-C2CF99AD1875}"/>
  <bookViews>
    <workbookView xWindow="-120" yWindow="-120" windowWidth="20730" windowHeight="11160" firstSheet="1" activeTab="1" xr2:uid="{00000000-000D-0000-FFFF-FFFF00000000}"/>
  </bookViews>
  <sheets>
    <sheet name="Distribusi PIC" sheetId="4" state="hidden" r:id="rId1"/>
    <sheet name="MK Agama Islam Rev BPA" sheetId="52" r:id="rId2"/>
  </sheets>
  <calcPr calcId="191028"/>
  <pivotCaches>
    <pivotCache cacheId="94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5" roundtripDataChecksum="cmPMqTh2DyilFbqI4eu9Lx9g3lssKojsyrCFinJfO3o="/>
    </ext>
  </extLst>
</workbook>
</file>

<file path=xl/calcChain.xml><?xml version="1.0" encoding="utf-8"?>
<calcChain xmlns="http://schemas.openxmlformats.org/spreadsheetml/2006/main">
  <c r="F26" i="52" l="1"/>
  <c r="D26" i="52"/>
  <c r="K26" i="52"/>
  <c r="J26" i="52"/>
  <c r="H26" i="52"/>
  <c r="O25" i="52"/>
  <c r="O24" i="52"/>
  <c r="O23" i="52"/>
  <c r="O22" i="52"/>
  <c r="O21" i="52"/>
  <c r="O26" i="5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<sst xmlns="http://schemas.openxmlformats.org/spreadsheetml/2006/main" count="227" uniqueCount="183">
  <si>
    <t>PIC RPS</t>
  </si>
  <si>
    <t>Jumlah</t>
  </si>
  <si>
    <t>BPA</t>
  </si>
  <si>
    <t>PILIHAN</t>
  </si>
  <si>
    <t>TFC</t>
  </si>
  <si>
    <t>DTP</t>
  </si>
  <si>
    <t>UMY</t>
  </si>
  <si>
    <t>FQH</t>
  </si>
  <si>
    <t>AWJ</t>
  </si>
  <si>
    <t>HPW</t>
  </si>
  <si>
    <t>NIU</t>
  </si>
  <si>
    <t>SNG</t>
  </si>
  <si>
    <t>FMA</t>
  </si>
  <si>
    <t>RYF</t>
  </si>
  <si>
    <t>ONP</t>
  </si>
  <si>
    <t>IYZ</t>
  </si>
  <si>
    <t>VRT</t>
  </si>
  <si>
    <t>TFD</t>
  </si>
  <si>
    <t>ARJ</t>
  </si>
  <si>
    <t>ENA</t>
  </si>
  <si>
    <t>LRI</t>
  </si>
  <si>
    <t>MTK</t>
  </si>
  <si>
    <t>RWW</t>
  </si>
  <si>
    <t>WFY</t>
  </si>
  <si>
    <t>WDG</t>
  </si>
  <si>
    <t>GDP</t>
  </si>
  <si>
    <t>IVO</t>
  </si>
  <si>
    <t>PDA</t>
  </si>
  <si>
    <t>AVB</t>
  </si>
  <si>
    <t>HFR</t>
  </si>
  <si>
    <t>TNA</t>
  </si>
  <si>
    <t>SNP</t>
  </si>
  <si>
    <t>ILD</t>
  </si>
  <si>
    <t>NFL</t>
  </si>
  <si>
    <t>MHY</t>
  </si>
  <si>
    <t>NAS</t>
  </si>
  <si>
    <t>(blank)</t>
  </si>
  <si>
    <t>Grand Total</t>
  </si>
  <si>
    <r>
      <t>RENCANA PEMBELAJARAN SEMESTER
PROGRAM STUDI</t>
    </r>
    <r>
      <rPr>
        <b/>
        <sz val="14"/>
        <color rgb="FFFF0000"/>
        <rFont val="Arial"/>
        <family val="2"/>
      </rPr>
      <t xml:space="preserve"> NOT DEFINED</t>
    </r>
    <r>
      <rPr>
        <b/>
        <sz val="14"/>
        <color theme="1"/>
        <rFont val="Arial"/>
        <family val="2"/>
      </rPr>
      <t xml:space="preserve">
FAKULTAS</t>
    </r>
    <r>
      <rPr>
        <b/>
        <sz val="14"/>
        <color rgb="FFFF0000"/>
        <rFont val="Arial"/>
        <family val="2"/>
      </rPr>
      <t xml:space="preserve"> NOT DEFINED</t>
    </r>
  </si>
  <si>
    <t>Identitas Mata Kuliah</t>
  </si>
  <si>
    <t>NAMA MK</t>
  </si>
  <si>
    <t>KODE MK</t>
  </si>
  <si>
    <t>RUMPUN MATA KULIAH</t>
  </si>
  <si>
    <t>MITRA PENGEMBANG RPS</t>
  </si>
  <si>
    <t>BOBOT (SKS)</t>
  </si>
  <si>
    <t>SEMESTER</t>
  </si>
  <si>
    <t>Direvisi</t>
  </si>
  <si>
    <t>Agama Islam</t>
  </si>
  <si>
    <t>UAKXACB2</t>
  </si>
  <si>
    <t>Ilmu Terapan</t>
  </si>
  <si>
    <t>03 Juni 2024</t>
  </si>
  <si>
    <t>Otoritas</t>
  </si>
  <si>
    <t>Pengembang RPS</t>
  </si>
  <si>
    <t>Ketua Kelompok Keahlian</t>
  </si>
  <si>
    <t>Ka PRODI</t>
  </si>
  <si>
    <t>Dr. Deden Syarif Hidayatulloh, S.Ag., M.Pd.I</t>
  </si>
  <si>
    <t>Deskripsi Mata Kuliah</t>
  </si>
  <si>
    <t>MK Agama Islam mempunyai peranan dan posisi yang strategis dalam pengembangan intelektualitas, meningkatkan wawasan ke-Islaman dan keterampilan pengamalan ajaran Islam, dalam membentuk karakter, keadaban mahasiswa bermartabat untuk mewujudkan manusia yang beriman, bertaqwa dan Berakhlaq.</t>
  </si>
  <si>
    <t>Program Learning Outcomes (PLO) &amp; Course Learning Outcomes</t>
  </si>
  <si>
    <t>Program Learning Outcomes (PLO) / CPL PRODI</t>
  </si>
  <si>
    <t>PLO 1</t>
  </si>
  <si>
    <t>Mampu menerapkan pemikiran logis, kritis, sistematis dan inovatif dalam konteks pengembangan atau implementasi ilmu pengetahuan dan teknologi dengan menjunjung tinggi nilai kemanusiaan dalam menjalankan tugas berdasarkan agama, moral dan etika</t>
  </si>
  <si>
    <t>Course Learning Outcomes (CLO)</t>
  </si>
  <si>
    <t>PLO yang di dukung</t>
  </si>
  <si>
    <t>CLO1</t>
  </si>
  <si>
    <t>Mampu memahami konsep akhlak mulia melalui ajaran agama untuk membentuk manusia yang beriman dan bertakwa kepada Tuhan Yang Maha Esa serta menghargai perbedaan (C2)</t>
  </si>
  <si>
    <t>CLO2</t>
  </si>
  <si>
    <t>Mampu mengimplementasikan konsep keimanan dan ketakwaan kepada Tuhan Yang Maha Esa dalam kehidupan sehari-hari (C3, P3)</t>
  </si>
  <si>
    <t>Penilaian</t>
  </si>
  <si>
    <t>Id CLO</t>
  </si>
  <si>
    <t>Bobot per Bentuk Penilaian (%)</t>
  </si>
  <si>
    <t>TOTAL BOBOT PER CLO (%)</t>
  </si>
  <si>
    <t>Kognitif/Pengetahuan</t>
  </si>
  <si>
    <t>Aktivitas Partisipatif</t>
  </si>
  <si>
    <t>Hasil Proyek</t>
  </si>
  <si>
    <t>Tugas (Aktivitas Partisipatif/Cased based)</t>
  </si>
  <si>
    <t>Kuis &amp; Forum (Kognitif/Pengetahuan)</t>
  </si>
  <si>
    <t>TUGAS BESAR 1 (HASIL Project/Project)</t>
  </si>
  <si>
    <t>TUGAS BESAR 12(HASIL Project/Project)</t>
  </si>
  <si>
    <t>MENTORING (Kognitif, Cased Based, dan Project Based)</t>
  </si>
  <si>
    <t>Total per penilaian</t>
  </si>
  <si>
    <t>Pustaka</t>
  </si>
  <si>
    <t>Utama: ALQURAN DAN HADIST</t>
  </si>
  <si>
    <t>Al-Qur'an dan Hadist</t>
  </si>
  <si>
    <t>Islam Pedoman Hidup dan Kehidupan, Edwrite Publishing. Bandung 2024, Ed.Baru. Deden Syarif Hidayatulloh dan tim</t>
  </si>
  <si>
    <t>Pustaka Pendukung:
 -</t>
  </si>
  <si>
    <t>Pengembangan Kepribadian PAI pada Perguruan Tinggi Umum, Depag, Dirjen Pendidikan Tinggi Islam, Jakarta 2019</t>
  </si>
  <si>
    <t>Sarah Rasmul Bayan Tarbiyah,  penerbit Aulia Press, 2009 &amp; buku Islam Agama Toleran, dan buku Praktis Ziswaf (Penelitian dosen) dll</t>
  </si>
  <si>
    <t>Media Pembelajaran</t>
  </si>
  <si>
    <t>Software:</t>
  </si>
  <si>
    <t>Hardware :</t>
  </si>
  <si>
    <t>Software: • OS : Windows : MS Office,  ppt, Pdf Reader, Zoom met, G-Meet, Google classroom, Film</t>
  </si>
  <si>
    <t>PC/Laptop</t>
  </si>
  <si>
    <t>Team Teaching</t>
  </si>
  <si>
    <t>Tim Dosen Agama Islam Universitas Telkom</t>
  </si>
  <si>
    <t>Matakuliah prasyarat</t>
  </si>
  <si>
    <t>Ambang Batas Kelulusan Mahasiswa</t>
  </si>
  <si>
    <t>(nilai)</t>
  </si>
  <si>
    <t>Ambang Batas Kelulusan MK</t>
  </si>
  <si>
    <t>(persentase)</t>
  </si>
  <si>
    <t>MINGGU KE-</t>
  </si>
  <si>
    <t>ID CLO</t>
  </si>
  <si>
    <t>DESKRIPSI SUB CLO</t>
  </si>
  <si>
    <t>INDIKATOR KETERCAPAIAN CLO</t>
  </si>
  <si>
    <t>BENTUK ASSESMEN</t>
  </si>
  <si>
    <t xml:space="preserve">MATERI </t>
  </si>
  <si>
    <t>METODE</t>
  </si>
  <si>
    <t>LUAR JARINGAN (TATAP MUKA)</t>
  </si>
  <si>
    <t>DALAM JARINGAN  (DARING)</t>
  </si>
  <si>
    <t>BOBOT SUB CLO</t>
  </si>
  <si>
    <t>CLO 1</t>
  </si>
  <si>
    <t xml:space="preserve">Mahasiswa mampu memahami silabus MK dan mampu menerapkan bacaan Al-Qur'an </t>
  </si>
  <si>
    <t>Mahasiswa mampu memahami silabus dan kontak belajar, serta bisa membaca baca Al-Qur'an untuk modal belajar dan ketenangan lahir bathin</t>
  </si>
  <si>
    <t>Tugas, Mentoring, TUBES 1</t>
  </si>
  <si>
    <t>Ta'aruf, Silabus dan Bacaan Quran</t>
  </si>
  <si>
    <t>Ceramah, Tes bacaan qur'an dan problem based learning</t>
  </si>
  <si>
    <t>Luring/Tatap Muka (2x50)</t>
  </si>
  <si>
    <t xml:space="preserve">Mahasiswa mampu memahami Konsep alam dan manusia sebagai ciptaanNya </t>
  </si>
  <si>
    <t>Mahasiswa mampu memahami Konsep Alam, konsep Manusia sebagai makhluk ciptaan Allah SWT yang mempunyai peranan penting untuk menjadi kholifah di muka bumi</t>
  </si>
  <si>
    <t>TUBES 1</t>
  </si>
  <si>
    <t>Alam dan Manusia</t>
  </si>
  <si>
    <t>Problem based learning</t>
  </si>
  <si>
    <t>Mahasiswa mampu memahami pentingnya urgensi Agama Islam sebagai pedoman hidup</t>
  </si>
  <si>
    <t>Mahasiswa mampu memahami dan melaksanakan Islam, sehingga menjadi pribadi muslim yang kaffah (holistik)</t>
  </si>
  <si>
    <t>Mentoring, TUBES 1</t>
  </si>
  <si>
    <t>Urgensi Agama Islam</t>
  </si>
  <si>
    <t>Ceramah, diskusi dan Project based learning</t>
  </si>
  <si>
    <t>Mahasiswa mampu memahami Konsep Tauhid, Ma'rifah dan Taqdir</t>
  </si>
  <si>
    <t>Mahasiswa mampu memahami dan melaksanakan Tauhidullah (Ma'rifatullah), Ma'rifaturrosul dan konsep taqdir sehingga menjadi manusia yang kokoh, kuat dan merdeka dalam kehidupannya di dunia untuk mempersiapkan kehidupan akhiratnya</t>
  </si>
  <si>
    <t>Kuis, Mentoring, TUBES 1</t>
  </si>
  <si>
    <t>Tauhid, Ma'rifah dan Taqdir</t>
  </si>
  <si>
    <t>Mahasiswa mampu memahami sumber hukum Islam Al-Qur'an &amp; As-Sunah serta Ijitihad sebagai undang-undang dan nilai</t>
  </si>
  <si>
    <t>Mahasiswa mampu memahami dan melaksanakan sumber hukum Islam sebagai landasan dalam hidup dan dijadikan undang-undang (pedoman) dalam ibadah mahdoh dan ghoer mahdoh</t>
  </si>
  <si>
    <t>Tugas, TUBES 1</t>
  </si>
  <si>
    <t>al-Qur'an, Hadits dan Ijtihad</t>
  </si>
  <si>
    <t>Daring (1x70) Menonron Video (1x30 menit)</t>
  </si>
  <si>
    <t>Mahasiswa mampu memahami dan menerapkan syariah ibadah (thoharoh, sholat, puasa dan haji/umrah)</t>
  </si>
  <si>
    <t xml:space="preserve"> Mahasiswa mampu memahami dan melaksanakan syariah ibadah dalam mewujudkan hamba Allah swt yang sholeh pribadinya (hablum minallah) sehingga berdampak pada sholeh sosial (hablum minnass dan hablum minal alam)</t>
  </si>
  <si>
    <t>Thoharoh. Sholat, Puasa dan Haji</t>
  </si>
  <si>
    <t>CLO 2</t>
  </si>
  <si>
    <t>Mahasiswa mampu memahami konsep Akhlaq Ukhuwah dan Tasamuh</t>
  </si>
  <si>
    <t>Mahasiswa mampu memahami dan melaksanakan Akhlaq, Ukhuwah dan Tasamuh dalam mewujudkan perdamaian dunia yang kompleks dengan perbedaan sehingga dapat mengambil nilai-nilai kebaikan</t>
  </si>
  <si>
    <t>Akhlak Ukhuwah dan Tasamuh</t>
  </si>
  <si>
    <t>Ceramah, diskusi dan Problem based learning (Ket. Bhs Inggris)</t>
  </si>
  <si>
    <t>Mahasiswa mampu memahami dan melaksanakan menjadi Khalifah fil Ard &amp; Islam Holistik</t>
  </si>
  <si>
    <t>Mahasiswa mampu memahami Alam, Manusia, Allah sebagai pencipta, Tauhid &amp; Agama Islam, Sumber Hukum Islam, Syariah Ibadah dan Akhlaq</t>
  </si>
  <si>
    <t>TUBES-1 (Artikel dan Video)</t>
  </si>
  <si>
    <t>Project based learning</t>
  </si>
  <si>
    <t>Daring (2x50)</t>
  </si>
  <si>
    <t>Mahasiswa mampu memahami, menjelaskan Ekonomi Islam (Syariah Mu'amalah) sebagai kekuatan ekonomi Islam</t>
  </si>
  <si>
    <t>Mahasiswa mampu memahami dan melaksanakan Ekonomi Islam (Syariah) sebagai pilar ajaran Islam, sehingga melaksanakan ekonomi syariah sebagai landasan berekonomi dan atau bermuamalah</t>
  </si>
  <si>
    <t>Tugas, TUBES 2</t>
  </si>
  <si>
    <t>Ekonomi Islam (Ziswaf dan Riba)</t>
  </si>
  <si>
    <t>CLO 3</t>
  </si>
  <si>
    <t>Mahasiswa mampu memahami etos kerja, etika profesi dan entrepreneur Islam</t>
  </si>
  <si>
    <t>Mahasiswa mampu memahami dan melaksanakan Etos Kerja, Etika Profesi dan Entrepreneur Islami untuk mendapatkan pranata kehidupan yang sejahtera di dunia sebagai bekal kehidupan</t>
  </si>
  <si>
    <t>Kuis, Mentoring, TUBES 2</t>
  </si>
  <si>
    <t>Etos Kerja, Etika Profesi dan Entrepreneur Islam</t>
  </si>
  <si>
    <t>Mahasiswa mampu memahami konsep pernikahan Islami</t>
  </si>
  <si>
    <t>Mahasiswa mampu memahami arti Menikah Islami dalam Mewujudkan Keluarga Samara untuk kebahagiaan dunia yang sejahtera dan akherat yang selamat</t>
  </si>
  <si>
    <t>Kuis, TUBES 2</t>
  </si>
  <si>
    <t>Konsep Pernikahan Islami</t>
  </si>
  <si>
    <t>Ceramah, diskusi dan Problem based learning</t>
  </si>
  <si>
    <t>2,5</t>
  </si>
  <si>
    <t>Mahasiswa mampu memahami konsep Ghozwul Fikri dalam realita kehidupan</t>
  </si>
  <si>
    <t>Mahasiswa mampu memahami dan mengetahui Ghozwul Fikri untuk memperkuat  aqidah sehingga memiliki spritual keagamaan Islam yang kokoh dan kuat</t>
  </si>
  <si>
    <t>Ghozwul Fikri</t>
  </si>
  <si>
    <t>Problem Solving. Learning dan Project based learning</t>
  </si>
  <si>
    <t>Daring (2x50), nonton vedeo</t>
  </si>
  <si>
    <t>Mahasiswa mampu memahami masjid sebagai Baitullah, Baitul Maal dan Baitul Mu'amalah serta Dakwah sebagai perjuangan Islam</t>
  </si>
  <si>
    <t>Mahasiswa mampu memahami Masjid dan Dakwah Islam secara fungsi dan peranannya dan ruang lingkupnya untuk menguatkan peradaban Islam yang membumi</t>
  </si>
  <si>
    <t>Tugas, Mentoring, TUBES 2</t>
  </si>
  <si>
    <t>Masjid dan Dakwah</t>
  </si>
  <si>
    <t>Mahasiswa mampu memahami politik Islam dan Masyarakat Madani</t>
  </si>
  <si>
    <t>Mahasiswa mampu memahami Politik dan Masyarakat Madani sehingga dapat memperjuangkan keadilan dan kesejahteraan hidup yang Madani</t>
  </si>
  <si>
    <t>Politik Islam dan Masyarakat Madani</t>
  </si>
  <si>
    <t>Mahasiswa mampu memahami Ilmu Pengetahuan Teknologi dan Seni dalam Perspektif Islam</t>
  </si>
  <si>
    <t>Mahasiswa mampu untuk memahami dan melaksanakan IPTEKS dalam Islam demi terwujud penguasaan ilmu dan pengetahuan, teknologi dan seni untuk kehidupan yang lebih baik</t>
  </si>
  <si>
    <t>Ipteks dalam Persfektif Islam, Keutamaan Orang Berilmu dan Tanggungjawab Ilmuwan Muslim</t>
  </si>
  <si>
    <t>Project based learning (Ket. Bhs Inggris)</t>
  </si>
  <si>
    <t>Mahasiswa mampu memahami dan menjadi profile Muslim sejahteran yang rahmatan lil'alamin</t>
  </si>
  <si>
    <t>Terciptanya mahasiswa yang memahami menjadi profile Muslim sejahteran yang RA…</t>
  </si>
  <si>
    <t>TUBES-2 (Poster/Maind Maping)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</si>
</sst>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sz val="1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rgb="FFFF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Calibri"/>
      <family val="2"/>
    </font>
    <font>
      <sz val="10"/>
      <name val="Roboto"/>
    </font>
    <font>
      <sz val="10"/>
      <name val="Arial"/>
      <family val="2"/>
    </font>
    <font>
      <b/>
      <i/>
      <sz val="11"/>
      <color rgb="FF000000"/>
      <name val="Arial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0CECE"/>
        <bgColor rgb="FFD0CECE"/>
      </patternFill>
    </fill>
    <fill>
      <patternFill patternType="solid">
        <fgColor rgb="FFF4CCCC"/>
        <bgColor rgb="FFF4CC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CCCCC"/>
      </patternFill>
    </fill>
    <fill>
      <patternFill patternType="solid">
        <fgColor theme="7" tint="0.39997558519241921"/>
        <bgColor rgb="FFCCCC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6AA84F"/>
      </patternFill>
    </fill>
    <fill>
      <patternFill patternType="solid">
        <fgColor rgb="FFFF99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4" fillId="0" borderId="0" xfId="0" applyFont="1"/>
    <xf numFmtId="10" fontId="9" fillId="0" borderId="5" xfId="0" applyNumberFormat="1" applyFont="1" applyBorder="1" applyAlignment="1">
      <alignment horizontal="center" vertical="center"/>
    </xf>
    <xf numFmtId="0" fontId="3" fillId="0" borderId="7" xfId="0" applyFont="1" applyBorder="1"/>
    <xf numFmtId="0" fontId="9" fillId="2" borderId="5" xfId="0" applyFont="1" applyFill="1" applyBorder="1" applyAlignment="1">
      <alignment horizontal="center" vertical="top"/>
    </xf>
    <xf numFmtId="0" fontId="8" fillId="6" borderId="5" xfId="0" applyFont="1" applyFill="1" applyBorder="1" applyAlignment="1">
      <alignment horizontal="center" vertical="top"/>
    </xf>
    <xf numFmtId="0" fontId="3" fillId="0" borderId="0" xfId="0" applyFont="1"/>
    <xf numFmtId="2" fontId="3" fillId="0" borderId="0" xfId="0" applyNumberFormat="1" applyFont="1"/>
    <xf numFmtId="10" fontId="3" fillId="0" borderId="0" xfId="0" applyNumberFormat="1" applyFont="1"/>
    <xf numFmtId="0" fontId="0" fillId="0" borderId="11" xfId="0" pivotButton="1" applyBorder="1"/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8" fillId="10" borderId="5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2" fontId="9" fillId="8" borderId="5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0" fillId="0" borderId="10" xfId="0" applyBorder="1"/>
    <xf numFmtId="0" fontId="13" fillId="12" borderId="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6" borderId="5" xfId="0" applyFont="1" applyFill="1" applyBorder="1" applyAlignment="1">
      <alignment horizontal="center"/>
    </xf>
    <xf numFmtId="0" fontId="14" fillId="14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 wrapText="1"/>
    </xf>
    <xf numFmtId="0" fontId="15" fillId="14" borderId="17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 wrapText="1"/>
    </xf>
    <xf numFmtId="0" fontId="15" fillId="15" borderId="2" xfId="0" applyFont="1" applyFill="1" applyBorder="1" applyAlignment="1">
      <alignment horizontal="center" vertical="center"/>
    </xf>
    <xf numFmtId="0" fontId="15" fillId="15" borderId="8" xfId="0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0" fontId="15" fillId="16" borderId="8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5" fillId="14" borderId="8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 wrapText="1"/>
    </xf>
    <xf numFmtId="0" fontId="15" fillId="14" borderId="8" xfId="0" applyFont="1" applyFill="1" applyBorder="1" applyAlignment="1">
      <alignment horizontal="center" vertical="center" wrapText="1"/>
    </xf>
    <xf numFmtId="0" fontId="15" fillId="14" borderId="3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vertical="center" wrapText="1"/>
    </xf>
    <xf numFmtId="0" fontId="2" fillId="14" borderId="3" xfId="0" applyFont="1" applyFill="1" applyBorder="1" applyAlignment="1">
      <alignment vertical="center"/>
    </xf>
    <xf numFmtId="0" fontId="15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vertical="center"/>
    </xf>
    <xf numFmtId="0" fontId="1" fillId="13" borderId="2" xfId="0" applyFont="1" applyFill="1" applyBorder="1" applyAlignment="1">
      <alignment horizontal="center" vertical="center" wrapText="1"/>
    </xf>
    <xf numFmtId="0" fontId="1" fillId="13" borderId="8" xfId="0" applyFont="1" applyFill="1" applyBorder="1" applyAlignment="1">
      <alignment horizontal="center" vertical="center" wrapText="1"/>
    </xf>
    <xf numFmtId="0" fontId="15" fillId="15" borderId="2" xfId="0" applyFont="1" applyFill="1" applyBorder="1" applyAlignment="1">
      <alignment vertical="center" wrapText="1"/>
    </xf>
    <xf numFmtId="0" fontId="2" fillId="15" borderId="8" xfId="0" applyFont="1" applyFill="1" applyBorder="1" applyAlignment="1">
      <alignment vertical="center"/>
    </xf>
    <xf numFmtId="0" fontId="15" fillId="16" borderId="2" xfId="0" applyFont="1" applyFill="1" applyBorder="1" applyAlignment="1">
      <alignment vertical="center" wrapText="1"/>
    </xf>
    <xf numFmtId="0" fontId="2" fillId="16" borderId="8" xfId="0" applyFont="1" applyFill="1" applyBorder="1" applyAlignment="1">
      <alignment vertical="center"/>
    </xf>
    <xf numFmtId="0" fontId="2" fillId="16" borderId="3" xfId="0" applyFont="1" applyFill="1" applyBorder="1" applyAlignment="1">
      <alignment vertical="center"/>
    </xf>
    <xf numFmtId="0" fontId="15" fillId="16" borderId="2" xfId="0" applyFont="1" applyFill="1" applyBorder="1" applyAlignment="1">
      <alignment horizontal="center" vertical="center" wrapText="1"/>
    </xf>
    <xf numFmtId="0" fontId="15" fillId="15" borderId="2" xfId="0" applyFont="1" applyFill="1" applyBorder="1" applyAlignment="1">
      <alignment vertical="center"/>
    </xf>
    <xf numFmtId="0" fontId="15" fillId="14" borderId="3" xfId="0" applyFont="1" applyFill="1" applyBorder="1" applyAlignment="1">
      <alignment horizontal="center" vertical="center" wrapText="1"/>
    </xf>
    <xf numFmtId="0" fontId="2" fillId="14" borderId="8" xfId="0" applyFont="1" applyFill="1" applyBorder="1" applyAlignment="1">
      <alignment vertical="center"/>
    </xf>
    <xf numFmtId="0" fontId="2" fillId="14" borderId="2" xfId="0" applyFont="1" applyFill="1" applyBorder="1" applyAlignment="1">
      <alignment vertical="center" wrapText="1"/>
    </xf>
    <xf numFmtId="0" fontId="2" fillId="14" borderId="3" xfId="0" applyFont="1" applyFill="1" applyBorder="1" applyAlignment="1">
      <alignment vertical="center" wrapText="1"/>
    </xf>
    <xf numFmtId="0" fontId="14" fillId="14" borderId="2" xfId="0" applyFont="1" applyFill="1" applyBorder="1" applyAlignment="1">
      <alignment vertical="center" wrapText="1"/>
    </xf>
    <xf numFmtId="0" fontId="5" fillId="7" borderId="7" xfId="0" applyFont="1" applyFill="1" applyBorder="1" applyAlignment="1">
      <alignment vertical="top"/>
    </xf>
    <xf numFmtId="0" fontId="9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3" fillId="12" borderId="3" xfId="0" applyFont="1" applyFill="1" applyBorder="1" applyAlignment="1">
      <alignment horizontal="center" vertical="center" wrapText="1"/>
    </xf>
    <xf numFmtId="0" fontId="13" fillId="12" borderId="8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2" fillId="12" borderId="18" xfId="0" applyFont="1" applyFill="1" applyBorder="1" applyAlignment="1">
      <alignment horizontal="center" vertical="center"/>
    </xf>
    <xf numFmtId="0" fontId="8" fillId="11" borderId="18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wrapText="1"/>
    </xf>
    <xf numFmtId="0" fontId="9" fillId="0" borderId="7" xfId="0" applyFont="1" applyBorder="1" applyAlignment="1">
      <alignment vertical="top"/>
    </xf>
    <xf numFmtId="0" fontId="8" fillId="10" borderId="10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vertical="center"/>
    </xf>
    <xf numFmtId="0" fontId="8" fillId="10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vertical="top" wrapText="1"/>
    </xf>
    <xf numFmtId="0" fontId="5" fillId="5" borderId="7" xfId="0" applyFont="1" applyFill="1" applyBorder="1" applyAlignment="1">
      <alignment horizontal="center" vertical="top"/>
    </xf>
    <xf numFmtId="0" fontId="9" fillId="0" borderId="7" xfId="0" applyFont="1" applyBorder="1" applyAlignment="1">
      <alignment horizontal="center"/>
    </xf>
    <xf numFmtId="0" fontId="7" fillId="3" borderId="8" xfId="0" applyFont="1" applyFill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8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16" fontId="9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5" borderId="7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5" fillId="4" borderId="7" xfId="0" applyFont="1" applyFill="1" applyBorder="1" applyAlignment="1">
      <alignment vertical="top"/>
    </xf>
    <xf numFmtId="0" fontId="14" fillId="15" borderId="2" xfId="0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8" fillId="10" borderId="2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vertical="center"/>
    </xf>
    <xf numFmtId="0" fontId="2" fillId="9" borderId="3" xfId="0" applyFont="1" applyFill="1" applyBorder="1" applyAlignment="1">
      <alignment vertical="center"/>
    </xf>
    <xf numFmtId="0" fontId="8" fillId="6" borderId="2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 vertical="center" wrapText="1"/>
    </xf>
    <xf numFmtId="0" fontId="15" fillId="15" borderId="8" xfId="0" applyFont="1" applyFill="1" applyBorder="1" applyAlignment="1">
      <alignment horizontal="center" vertical="center" wrapText="1"/>
    </xf>
    <xf numFmtId="0" fontId="15" fillId="16" borderId="8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vertical="center" wrapText="1"/>
    </xf>
    <xf numFmtId="0" fontId="9" fillId="0" borderId="2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64" fontId="3" fillId="0" borderId="7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8" fillId="10" borderId="10" xfId="0" applyFont="1" applyFill="1" applyBorder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2" fillId="9" borderId="9" xfId="0" applyFont="1" applyFill="1" applyBorder="1" applyAlignment="1">
      <alignment vertical="center" wrapText="1"/>
    </xf>
    <xf numFmtId="0" fontId="2" fillId="9" borderId="7" xfId="0" applyFont="1" applyFill="1" applyBorder="1" applyAlignment="1">
      <alignment vertical="center" wrapText="1"/>
    </xf>
    <xf numFmtId="0" fontId="2" fillId="9" borderId="5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8" fillId="0" borderId="21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2" fillId="0" borderId="7" xfId="0" applyFont="1" applyBorder="1" applyAlignment="1"/>
    <xf numFmtId="0" fontId="2" fillId="0" borderId="5" xfId="0" applyFont="1" applyBorder="1" applyAlignment="1"/>
    <xf numFmtId="0" fontId="9" fillId="0" borderId="7" xfId="0" applyFont="1" applyBorder="1" applyAlignment="1"/>
    <xf numFmtId="0" fontId="3" fillId="0" borderId="7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FF99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5" Type="http://customschemas.google.com/relationships/workbookmetadata" Target="metadata"/><Relationship Id="rId93" Type="http://schemas.microsoft.com/office/2017/06/relationships/rdRichValueTypes" Target="richData/rdRichValueTypes.xml"/><Relationship Id="rId3" Type="http://schemas.openxmlformats.org/officeDocument/2006/relationships/pivotCacheDefinition" Target="pivotCache/pivotCacheDefinition1.xml"/><Relationship Id="rId89" Type="http://schemas.openxmlformats.org/officeDocument/2006/relationships/sheetMetadata" Target="metadata.xml"/><Relationship Id="rId9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88" Type="http://schemas.openxmlformats.org/officeDocument/2006/relationships/sharedStrings" Target="sharedStrings.xml"/><Relationship Id="rId91" Type="http://schemas.microsoft.com/office/2017/06/relationships/rdRichValue" Target="richData/rdrichvalue.xml"/><Relationship Id="rId1" Type="http://schemas.openxmlformats.org/officeDocument/2006/relationships/worksheet" Target="worksheets/sheet1.xml"/><Relationship Id="rId87" Type="http://schemas.openxmlformats.org/officeDocument/2006/relationships/styles" Target="styles.xml"/><Relationship Id="rId90" Type="http://schemas.microsoft.com/office/2022/10/relationships/richValueRel" Target="richData/richValueRel.xml"/><Relationship Id="rId86" Type="http://schemas.openxmlformats.org/officeDocument/2006/relationships/theme" Target="theme/theme1.xml"/><Relationship Id="rId9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ownloads/Edit%20RPS%20MK%20AGAMA%20ISLAM%204%20JUNI%202024%20(1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itriyana Dewi" refreshedDate="45373.47223402778" refreshedVersion="8" recordCount="87" xr:uid="{00000000-000A-0000-FFFF-FFFF00000000}">
  <cacheSource type="worksheet">
    <worksheetSource ref="C2:F89" sheet="PIC RPS 2022" r:id="rId2"/>
  </cacheSource>
  <cacheFields count="4">
    <cacheField name="Kategori MK" numFmtId="0">
      <sharedItems containsBlank="1"/>
    </cacheField>
    <cacheField name="Nama MK" numFmtId="0">
      <sharedItems containsBlank="1"/>
    </cacheField>
    <cacheField name="SKS" numFmtId="0">
      <sharedItems containsString="0" containsBlank="1" containsNumber="1" containsInteger="1" minValue="1" maxValue="4"/>
    </cacheField>
    <cacheField name="PIC RPS" numFmtId="0">
      <sharedItems containsBlank="1" count="35">
        <s v="BPA"/>
        <s v="DTP"/>
        <s v="ARJ"/>
        <s v="FMA"/>
        <s v="RYF"/>
        <s v="VRT"/>
        <m/>
        <s v="FQH"/>
        <s v="HPW"/>
        <s v="IVO"/>
        <s v="NIU"/>
        <s v="NFL"/>
        <s v="MTK"/>
        <s v="ILD"/>
        <s v="NAS"/>
        <s v="WFY"/>
        <s v="UMY"/>
        <s v="WDG"/>
        <s v="AVB"/>
        <s v="ENA"/>
        <s v="TFC"/>
        <s v="IYZ"/>
        <s v="SNG"/>
        <s v="AWJ"/>
        <s v="TFD"/>
        <s v="TNA"/>
        <s v="PILIHAN"/>
        <s v="MHY"/>
        <s v="LRI"/>
        <s v="ONP"/>
        <s v="HFR"/>
        <s v="GDP"/>
        <s v="SNP"/>
        <s v="PDA"/>
        <s v="RW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MKWU"/>
    <s v="Bahasa Inggris"/>
    <n v="2"/>
    <x v="0"/>
  </r>
  <r>
    <s v="MKWU"/>
    <s v="Pembentukan Karakter"/>
    <n v="1"/>
    <x v="0"/>
  </r>
  <r>
    <s v="MKWP"/>
    <s v="Kalkulus"/>
    <n v="3"/>
    <x v="1"/>
  </r>
  <r>
    <s v="MKWU"/>
    <s v="Literasi Teknologi Informasi dan Komunikasi"/>
    <n v="2"/>
    <x v="0"/>
  </r>
  <r>
    <s v="MKWP"/>
    <s v="Pengantar Sistem Informasi"/>
    <n v="3"/>
    <x v="2"/>
  </r>
  <r>
    <s v="MKWP"/>
    <s v="Sistem Enterprise**"/>
    <n v="3"/>
    <x v="3"/>
  </r>
  <r>
    <s v="MKWP"/>
    <s v="Matematika Diskrit"/>
    <n v="3"/>
    <x v="4"/>
  </r>
  <r>
    <s v="MKWP"/>
    <s v="Pengantar Pemrograman dan Logika*"/>
    <n v="3"/>
    <x v="5"/>
  </r>
  <r>
    <m/>
    <m/>
    <m/>
    <x v="6"/>
  </r>
  <r>
    <m/>
    <m/>
    <m/>
    <x v="6"/>
  </r>
  <r>
    <s v="MKWP"/>
    <s v="Sistem Basis Data**"/>
    <n v="3"/>
    <x v="7"/>
  </r>
  <r>
    <s v="MKWP"/>
    <s v="Probabilitas dan Statistik"/>
    <n v="2"/>
    <x v="4"/>
  </r>
  <r>
    <s v="MKWP"/>
    <s v="Matriks dan Ruang Vektor"/>
    <n v="3"/>
    <x v="1"/>
  </r>
  <r>
    <s v="MKWP"/>
    <s v="Kepemimpinan dan Komunikasi Interpersonal"/>
    <n v="2"/>
    <x v="8"/>
  </r>
  <r>
    <s v="MKWP"/>
    <s v="Algoritma dan Pemrograman **"/>
    <n v="4"/>
    <x v="5"/>
  </r>
  <r>
    <s v="MKWP"/>
    <s v="Bahasa Inggris II"/>
    <n v="3"/>
    <x v="9"/>
  </r>
  <r>
    <s v="MKWP"/>
    <s v="Dasar Keuangan Sistem Informasi"/>
    <n v="3"/>
    <x v="8"/>
  </r>
  <r>
    <m/>
    <m/>
    <m/>
    <x v="6"/>
  </r>
  <r>
    <m/>
    <m/>
    <m/>
    <x v="6"/>
  </r>
  <r>
    <s v="MKWP"/>
    <s v="Pemrograman Berorientasi Objek**"/>
    <n v="3"/>
    <x v="10"/>
  </r>
  <r>
    <s v="MKWP"/>
    <s v="Pemodelan Proses Bisnis"/>
    <n v="3"/>
    <x v="11"/>
  </r>
  <r>
    <s v="MKWP"/>
    <s v="Perilaku Organisasi"/>
    <n v="3"/>
    <x v="8"/>
  </r>
  <r>
    <s v="MKWP"/>
    <s v="Desain Jaringan Komputer &amp; Komunikasi Data*"/>
    <n v="3"/>
    <x v="12"/>
  </r>
  <r>
    <s v="MKWP"/>
    <s v="Desain Pengalaman Pengguna"/>
    <n v="2"/>
    <x v="13"/>
  </r>
  <r>
    <s v="MKWP"/>
    <s v="Statistika Industri"/>
    <n v="3"/>
    <x v="1"/>
  </r>
  <r>
    <m/>
    <m/>
    <m/>
    <x v="6"/>
  </r>
  <r>
    <m/>
    <m/>
    <m/>
    <x v="6"/>
  </r>
  <r>
    <s v="MKWP"/>
    <s v="Analisis dan Perancangan Sistem Informasi*"/>
    <n v="3"/>
    <x v="14"/>
  </r>
  <r>
    <s v="MKWP"/>
    <s v="Perancangan Interaksi"/>
    <n v="3"/>
    <x v="3"/>
  </r>
  <r>
    <s v="MKWP"/>
    <s v="Rekayasa Proses Bisnis*"/>
    <n v="3"/>
    <x v="15"/>
  </r>
  <r>
    <s v="MKWP"/>
    <s v="Manajemen Jaringan Komputer**"/>
    <n v="3"/>
    <x v="16"/>
  </r>
  <r>
    <s v="MKWP"/>
    <s v="Manajemen Layanan*"/>
    <n v="3"/>
    <x v="17"/>
  </r>
  <r>
    <s v="MKWP"/>
    <s v="Sistem Akuntansi dan Manajemen Keuangan**"/>
    <n v="3"/>
    <x v="18"/>
  </r>
  <r>
    <s v="MKWP"/>
    <s v="Pengujian dan Implementasi Sistem"/>
    <n v="2"/>
    <x v="19"/>
  </r>
  <r>
    <m/>
    <m/>
    <m/>
    <x v="6"/>
  </r>
  <r>
    <m/>
    <m/>
    <m/>
    <x v="6"/>
  </r>
  <r>
    <s v="MKWP"/>
    <s v="Manajemen Rantai Pasok**"/>
    <n v="3"/>
    <x v="20"/>
  </r>
  <r>
    <s v="MKWP"/>
    <s v="Arsitektur Enterprise"/>
    <n v="3"/>
    <x v="21"/>
  </r>
  <r>
    <s v="MKWP"/>
    <s v="Manajemen Proyek Sistem Informasi"/>
    <n v="3"/>
    <x v="22"/>
  </r>
  <r>
    <s v="MKWP"/>
    <s v="Pengembangan Aplikasi Website**"/>
    <n v="3"/>
    <x v="19"/>
  </r>
  <r>
    <s v="MKWP"/>
    <s v="Dasar Sistem Operasi**"/>
    <n v="3"/>
    <x v="16"/>
  </r>
  <r>
    <s v="MKWP"/>
    <s v="Data Warehouse dan Business Intelligence"/>
    <n v="4"/>
    <x v="7"/>
  </r>
  <r>
    <m/>
    <m/>
    <m/>
    <x v="6"/>
  </r>
  <r>
    <m/>
    <m/>
    <m/>
    <x v="6"/>
  </r>
  <r>
    <s v="MKWK"/>
    <s v="Kewarganegaraan"/>
    <n v="2"/>
    <x v="0"/>
  </r>
  <r>
    <s v="MKWP"/>
    <s v="Keamanan Sistem Informasi"/>
    <n v="4"/>
    <x v="23"/>
  </r>
  <r>
    <s v="MKWP"/>
    <s v="Rekayasa Perangkat Lunak : Capstone Project"/>
    <n v="4"/>
    <x v="24"/>
  </r>
  <r>
    <s v="MKWP"/>
    <s v="Tata Kelola dan Manajemen Teknologi Informasi"/>
    <n v="3"/>
    <x v="17"/>
  </r>
  <r>
    <s v="MKWP"/>
    <s v="Integrasi Aplikasi Enterprise"/>
    <n v="3"/>
    <x v="10"/>
  </r>
  <r>
    <s v="MKWP"/>
    <s v="Kerja Praktek"/>
    <n v="2"/>
    <x v="25"/>
  </r>
  <r>
    <s v="MKWP"/>
    <s v="Etika Profesi, Regulasi Teknologi Informasi dan Properti Intelektual"/>
    <n v="2"/>
    <x v="2"/>
  </r>
  <r>
    <m/>
    <m/>
    <m/>
    <x v="6"/>
  </r>
  <r>
    <s v="MKWP"/>
    <s v="Metode Penelitian dan Penyusunan Karya Ilmiah"/>
    <n v="2"/>
    <x v="24"/>
  </r>
  <r>
    <s v="MK Prodi"/>
    <s v="MK Peminatan Pilihan I (WRAP)"/>
    <m/>
    <x v="26"/>
  </r>
  <r>
    <s v="MK Prodi"/>
    <s v="MK Peminatan Pilihan II (WRAP)"/>
    <m/>
    <x v="26"/>
  </r>
  <r>
    <s v="MKWP"/>
    <s v="Pelatihan dan Sertifikasi"/>
    <n v="3"/>
    <x v="27"/>
  </r>
  <r>
    <s v="MK Prodi"/>
    <s v="MK Peminatan Pilihan III (WRAP)"/>
    <m/>
    <x v="26"/>
  </r>
  <r>
    <s v="MK Prodi"/>
    <s v="MK Peminatan Pilihan IV (WRAP)"/>
    <m/>
    <x v="26"/>
  </r>
  <r>
    <s v="MKWU"/>
    <s v="Kewirausahaan"/>
    <n v="2"/>
    <x v="0"/>
  </r>
  <r>
    <s v="MKWK"/>
    <s v="Agama dan Etika"/>
    <n v="2"/>
    <x v="0"/>
  </r>
  <r>
    <m/>
    <m/>
    <m/>
    <x v="6"/>
  </r>
  <r>
    <m/>
    <m/>
    <m/>
    <x v="6"/>
  </r>
  <r>
    <s v="MKWP"/>
    <s v="Tugas Akhir"/>
    <n v="4"/>
    <x v="28"/>
  </r>
  <r>
    <s v="MKWK"/>
    <s v="Pancasila"/>
    <n v="2"/>
    <x v="0"/>
  </r>
  <r>
    <s v="MKWK"/>
    <s v="Bahasa Indonesia"/>
    <n v="2"/>
    <x v="0"/>
  </r>
  <r>
    <m/>
    <m/>
    <m/>
    <x v="6"/>
  </r>
  <r>
    <m/>
    <m/>
    <m/>
    <x v="6"/>
  </r>
  <r>
    <s v="MKPP"/>
    <s v="Penambangan Data"/>
    <m/>
    <x v="29"/>
  </r>
  <r>
    <s v="MKPP"/>
    <s v="Analitika Data"/>
    <m/>
    <x v="29"/>
  </r>
  <r>
    <s v="MKPP"/>
    <s v="Penambangan Proses"/>
    <m/>
    <x v="10"/>
  </r>
  <r>
    <s v="MKPP"/>
    <s v="Pengelolaan Big Data"/>
    <m/>
    <x v="7"/>
  </r>
  <r>
    <s v="MKPP"/>
    <s v="Pengantar Internet of Things"/>
    <m/>
    <x v="30"/>
  </r>
  <r>
    <s v="MKPP"/>
    <s v="Bisnis Digital"/>
    <m/>
    <x v="31"/>
  </r>
  <r>
    <s v="MKPP"/>
    <s v="Pengembangan Sistem Cerdas"/>
    <m/>
    <x v="32"/>
  </r>
  <r>
    <s v="MKPP"/>
    <s v="Pengembangan Aplikasi Bergerak"/>
    <m/>
    <x v="22"/>
  </r>
  <r>
    <s v="MKPP"/>
    <s v="Manajemen Risiko dan Keamanan Informasi"/>
    <m/>
    <x v="33"/>
  </r>
  <r>
    <s v="MKPP"/>
    <s v="Teknik Audit dan Kontrol Sistem Informasi"/>
    <m/>
    <x v="28"/>
  </r>
  <r>
    <s v="MKPP"/>
    <s v="Manajemen Data Enterprise"/>
    <m/>
    <x v="15"/>
  </r>
  <r>
    <s v="MKPP"/>
    <s v="Implementasi Arsitektur Enterprise"/>
    <m/>
    <x v="21"/>
  </r>
  <r>
    <s v="MKPP"/>
    <s v="Modifikasi Sistem Enterprise"/>
    <m/>
    <x v="20"/>
  </r>
  <r>
    <s v="MKPP"/>
    <s v="Penerapan Sistem  Enterprise Terintegrasi"/>
    <m/>
    <x v="20"/>
  </r>
  <r>
    <s v="MKPP"/>
    <s v="Adopsi Teknologi Informasi"/>
    <m/>
    <x v="34"/>
  </r>
  <r>
    <s v="MKPP"/>
    <s v="Sistem Manajemen Hubungan Pelanggan"/>
    <m/>
    <x v="34"/>
  </r>
  <r>
    <s v="MKPP"/>
    <s v="Manajemen Layanan Jaringan"/>
    <m/>
    <x v="23"/>
  </r>
  <r>
    <s v="MKPP"/>
    <s v="Jaringan Komputer Enterprise"/>
    <m/>
    <x v="16"/>
  </r>
  <r>
    <s v="MKPP"/>
    <s v="Forensika Komputer"/>
    <m/>
    <x v="23"/>
  </r>
  <r>
    <s v="MKPP"/>
    <s v="Infrastruktur Awan"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Distribusi PIC" cacheId="942" applyNumberFormats="0" applyBorderFormats="0" applyFontFormats="0" applyPatternFormats="0" applyAlignmentFormats="0" applyWidthHeightFormats="0" dataCaption="" updatedVersion="8" compact="0" compactData="0">
  <location ref="A1:B37" firstHeaderRow="1" firstDataRow="1" firstDataCol="1"/>
  <pivotFields count="4">
    <pivotField name="Kategori MK" compact="0" outline="0" multipleItemSelectionAllowed="1" showAll="0"/>
    <pivotField name="Nama MK" dataField="1" compact="0" outline="0" multipleItemSelectionAllowed="1" showAll="0"/>
    <pivotField name="SKS" compact="0" outline="0" multipleItemSelectionAllowed="1" showAll="0"/>
    <pivotField name="PIC RPS" axis="axisRow" compact="0" outline="0" multipleItemSelectionAllowed="1" showAll="0" sortType="descending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</pivotFields>
  <rowFields count="1">
    <field x="3"/>
  </rowFields>
  <rowItems count="36">
    <i>
      <x/>
    </i>
    <i>
      <x v="26"/>
    </i>
    <i>
      <x v="20"/>
    </i>
    <i>
      <x v="1"/>
    </i>
    <i>
      <x v="16"/>
    </i>
    <i>
      <x v="7"/>
    </i>
    <i>
      <x v="23"/>
    </i>
    <i>
      <x v="8"/>
    </i>
    <i>
      <x v="10"/>
    </i>
    <i>
      <x v="22"/>
    </i>
    <i>
      <x v="3"/>
    </i>
    <i>
      <x v="4"/>
    </i>
    <i>
      <x v="29"/>
    </i>
    <i>
      <x v="21"/>
    </i>
    <i>
      <x v="5"/>
    </i>
    <i>
      <x v="24"/>
    </i>
    <i>
      <x v="2"/>
    </i>
    <i>
      <x v="19"/>
    </i>
    <i>
      <x v="28"/>
    </i>
    <i>
      <x v="12"/>
    </i>
    <i>
      <x v="34"/>
    </i>
    <i>
      <x v="15"/>
    </i>
    <i>
      <x v="17"/>
    </i>
    <i>
      <x v="31"/>
    </i>
    <i>
      <x v="9"/>
    </i>
    <i>
      <x v="33"/>
    </i>
    <i>
      <x v="18"/>
    </i>
    <i>
      <x v="30"/>
    </i>
    <i>
      <x v="25"/>
    </i>
    <i>
      <x v="32"/>
    </i>
    <i>
      <x v="13"/>
    </i>
    <i>
      <x v="11"/>
    </i>
    <i>
      <x v="27"/>
    </i>
    <i>
      <x v="14"/>
    </i>
    <i>
      <x v="6"/>
    </i>
    <i t="grand">
      <x/>
    </i>
  </rowItems>
  <colItems count="1">
    <i/>
  </colItems>
  <dataFields count="1">
    <dataField name="Jumlah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37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0" customWidth="1"/>
    <col min="2" max="2" width="6.42578125" customWidth="1"/>
  </cols>
  <sheetData>
    <row r="1" spans="1:2" ht="15" customHeight="1">
      <c r="A1" s="9" t="s">
        <v>0</v>
      </c>
      <c r="B1" s="10" t="s">
        <v>1</v>
      </c>
    </row>
    <row r="2" spans="1:2" ht="15" customHeight="1">
      <c r="A2" s="11" t="s">
        <v>2</v>
      </c>
      <c r="B2" s="10">
        <v>8</v>
      </c>
    </row>
    <row r="3" spans="1:2" ht="15" customHeight="1">
      <c r="A3" s="12" t="s">
        <v>3</v>
      </c>
      <c r="B3" s="13">
        <v>4</v>
      </c>
    </row>
    <row r="4" spans="1:2" ht="15" customHeight="1">
      <c r="A4" s="12" t="s">
        <v>4</v>
      </c>
      <c r="B4" s="13">
        <v>3</v>
      </c>
    </row>
    <row r="5" spans="1:2" ht="15" customHeight="1">
      <c r="A5" s="12" t="s">
        <v>5</v>
      </c>
      <c r="B5" s="13">
        <v>3</v>
      </c>
    </row>
    <row r="6" spans="1:2" ht="15" customHeight="1">
      <c r="A6" s="12" t="s">
        <v>6</v>
      </c>
      <c r="B6" s="13">
        <v>3</v>
      </c>
    </row>
    <row r="7" spans="1:2" ht="15" customHeight="1">
      <c r="A7" s="12" t="s">
        <v>7</v>
      </c>
      <c r="B7" s="13">
        <v>3</v>
      </c>
    </row>
    <row r="8" spans="1:2" ht="15" customHeight="1">
      <c r="A8" s="12" t="s">
        <v>8</v>
      </c>
      <c r="B8" s="13">
        <v>3</v>
      </c>
    </row>
    <row r="9" spans="1:2" ht="15" customHeight="1">
      <c r="A9" s="12" t="s">
        <v>9</v>
      </c>
      <c r="B9" s="13">
        <v>3</v>
      </c>
    </row>
    <row r="10" spans="1:2" ht="15" customHeight="1">
      <c r="A10" s="12" t="s">
        <v>10</v>
      </c>
      <c r="B10" s="13">
        <v>3</v>
      </c>
    </row>
    <row r="11" spans="1:2" ht="15" customHeight="1">
      <c r="A11" s="12" t="s">
        <v>11</v>
      </c>
      <c r="B11" s="13">
        <v>2</v>
      </c>
    </row>
    <row r="12" spans="1:2" ht="15" customHeight="1">
      <c r="A12" s="12" t="s">
        <v>12</v>
      </c>
      <c r="B12" s="13">
        <v>2</v>
      </c>
    </row>
    <row r="13" spans="1:2" ht="15" customHeight="1">
      <c r="A13" s="12" t="s">
        <v>13</v>
      </c>
      <c r="B13" s="13">
        <v>2</v>
      </c>
    </row>
    <row r="14" spans="1:2" ht="12.75">
      <c r="A14" s="12" t="s">
        <v>14</v>
      </c>
      <c r="B14" s="13">
        <v>2</v>
      </c>
    </row>
    <row r="15" spans="1:2" ht="12.75">
      <c r="A15" s="12" t="s">
        <v>15</v>
      </c>
      <c r="B15" s="13">
        <v>2</v>
      </c>
    </row>
    <row r="16" spans="1:2" ht="12.75">
      <c r="A16" s="12" t="s">
        <v>16</v>
      </c>
      <c r="B16" s="13">
        <v>2</v>
      </c>
    </row>
    <row r="17" spans="1:2" ht="12.75">
      <c r="A17" s="12" t="s">
        <v>17</v>
      </c>
      <c r="B17" s="13">
        <v>2</v>
      </c>
    </row>
    <row r="18" spans="1:2" ht="12.75">
      <c r="A18" s="12" t="s">
        <v>18</v>
      </c>
      <c r="B18" s="13">
        <v>2</v>
      </c>
    </row>
    <row r="19" spans="1:2" ht="12.75">
      <c r="A19" s="12" t="s">
        <v>19</v>
      </c>
      <c r="B19" s="13">
        <v>2</v>
      </c>
    </row>
    <row r="20" spans="1:2" ht="12.75">
      <c r="A20" s="12" t="s">
        <v>20</v>
      </c>
      <c r="B20" s="13">
        <v>2</v>
      </c>
    </row>
    <row r="21" spans="1:2" ht="12.75">
      <c r="A21" s="12" t="s">
        <v>21</v>
      </c>
      <c r="B21" s="13">
        <v>2</v>
      </c>
    </row>
    <row r="22" spans="1:2" ht="12.75">
      <c r="A22" s="12" t="s">
        <v>22</v>
      </c>
      <c r="B22" s="13">
        <v>2</v>
      </c>
    </row>
    <row r="23" spans="1:2" ht="12.75">
      <c r="A23" s="12" t="s">
        <v>23</v>
      </c>
      <c r="B23" s="13">
        <v>2</v>
      </c>
    </row>
    <row r="24" spans="1:2" ht="12.75">
      <c r="A24" s="12" t="s">
        <v>24</v>
      </c>
      <c r="B24" s="13">
        <v>2</v>
      </c>
    </row>
    <row r="25" spans="1:2" ht="12.75">
      <c r="A25" s="12" t="s">
        <v>25</v>
      </c>
      <c r="B25" s="13">
        <v>1</v>
      </c>
    </row>
    <row r="26" spans="1:2" ht="12.75">
      <c r="A26" s="12" t="s">
        <v>26</v>
      </c>
      <c r="B26" s="13">
        <v>1</v>
      </c>
    </row>
    <row r="27" spans="1:2" ht="12.75">
      <c r="A27" s="12" t="s">
        <v>27</v>
      </c>
      <c r="B27" s="13">
        <v>1</v>
      </c>
    </row>
    <row r="28" spans="1:2" ht="12.75">
      <c r="A28" s="12" t="s">
        <v>28</v>
      </c>
      <c r="B28" s="13">
        <v>1</v>
      </c>
    </row>
    <row r="29" spans="1:2" ht="12.75">
      <c r="A29" s="12" t="s">
        <v>29</v>
      </c>
      <c r="B29" s="13">
        <v>1</v>
      </c>
    </row>
    <row r="30" spans="1:2" ht="12.75">
      <c r="A30" s="12" t="s">
        <v>30</v>
      </c>
      <c r="B30" s="13">
        <v>1</v>
      </c>
    </row>
    <row r="31" spans="1:2" ht="12.75">
      <c r="A31" s="12" t="s">
        <v>31</v>
      </c>
      <c r="B31" s="13">
        <v>1</v>
      </c>
    </row>
    <row r="32" spans="1:2" ht="12.75">
      <c r="A32" s="12" t="s">
        <v>32</v>
      </c>
      <c r="B32" s="13">
        <v>1</v>
      </c>
    </row>
    <row r="33" spans="1:2" ht="12.75">
      <c r="A33" s="12" t="s">
        <v>33</v>
      </c>
      <c r="B33" s="13">
        <v>1</v>
      </c>
    </row>
    <row r="34" spans="1:2" ht="12.75">
      <c r="A34" s="12" t="s">
        <v>34</v>
      </c>
      <c r="B34" s="13">
        <v>1</v>
      </c>
    </row>
    <row r="35" spans="1:2" ht="12.75">
      <c r="A35" s="12" t="s">
        <v>35</v>
      </c>
      <c r="B35" s="13">
        <v>1</v>
      </c>
    </row>
    <row r="36" spans="1:2" ht="12.75">
      <c r="A36" s="12" t="s">
        <v>36</v>
      </c>
      <c r="B36" s="13"/>
    </row>
    <row r="37" spans="1:2" ht="12.75">
      <c r="A37" s="14" t="s">
        <v>37</v>
      </c>
      <c r="B37" s="15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8886-40DB-4103-825D-3898DAB12847}">
  <dimension ref="A1:R1006"/>
  <sheetViews>
    <sheetView tabSelected="1" topLeftCell="A20" workbookViewId="0">
      <selection activeCell="C37" sqref="C37"/>
    </sheetView>
  </sheetViews>
  <sheetFormatPr defaultRowHeight="12.75"/>
  <cols>
    <col min="2" max="2" width="23.7109375" customWidth="1"/>
    <col min="7" max="7" width="15.5703125" customWidth="1"/>
    <col min="8" max="8" width="11.5703125" customWidth="1"/>
    <col min="10" max="10" width="16.5703125" customWidth="1"/>
  </cols>
  <sheetData>
    <row r="1" spans="1:18" ht="75.75" customHeight="1">
      <c r="A1" s="148" t="e" vm="1">
        <v>#VALUE!</v>
      </c>
      <c r="B1" s="149"/>
      <c r="C1" s="99" t="s">
        <v>38</v>
      </c>
      <c r="D1" s="100"/>
      <c r="E1" s="100"/>
      <c r="F1" s="100"/>
      <c r="G1" s="101"/>
      <c r="H1" s="101"/>
      <c r="I1" s="101"/>
      <c r="J1" s="100"/>
      <c r="K1" s="100"/>
      <c r="L1" s="100"/>
      <c r="M1" s="100"/>
      <c r="N1" s="100"/>
      <c r="O1" s="100"/>
      <c r="P1" s="101"/>
      <c r="Q1" s="102"/>
      <c r="R1" s="6"/>
    </row>
    <row r="2" spans="1:18" ht="42" customHeight="1">
      <c r="A2" s="150" t="s">
        <v>39</v>
      </c>
      <c r="B2" s="151"/>
      <c r="C2" s="106" t="s">
        <v>40</v>
      </c>
      <c r="D2" s="73"/>
      <c r="E2" s="106" t="s">
        <v>41</v>
      </c>
      <c r="F2" s="72"/>
      <c r="G2" s="24" t="s">
        <v>42</v>
      </c>
      <c r="H2" s="115" t="s">
        <v>43</v>
      </c>
      <c r="I2" s="115"/>
      <c r="J2" s="107" t="s">
        <v>44</v>
      </c>
      <c r="K2" s="72"/>
      <c r="L2" s="72"/>
      <c r="M2" s="73"/>
      <c r="N2" s="107" t="s">
        <v>45</v>
      </c>
      <c r="O2" s="72"/>
      <c r="P2" s="111" t="s">
        <v>46</v>
      </c>
      <c r="Q2" s="112"/>
      <c r="R2" s="23"/>
    </row>
    <row r="3" spans="1:18" ht="15">
      <c r="A3" s="119"/>
      <c r="B3" s="152"/>
      <c r="C3" s="118" t="s">
        <v>47</v>
      </c>
      <c r="D3" s="73"/>
      <c r="E3" s="87" t="s">
        <v>48</v>
      </c>
      <c r="F3" s="72"/>
      <c r="G3" s="25" t="s">
        <v>49</v>
      </c>
      <c r="H3" s="116"/>
      <c r="I3" s="116"/>
      <c r="J3" s="109">
        <v>2</v>
      </c>
      <c r="K3" s="73"/>
      <c r="L3" s="109"/>
      <c r="M3" s="73"/>
      <c r="N3" s="108"/>
      <c r="O3" s="72"/>
      <c r="P3" s="113" t="s">
        <v>50</v>
      </c>
      <c r="Q3" s="114"/>
      <c r="R3" s="23"/>
    </row>
    <row r="4" spans="1:18" ht="15">
      <c r="A4" s="103" t="s">
        <v>51</v>
      </c>
      <c r="B4" s="104"/>
      <c r="C4" s="97" t="s">
        <v>52</v>
      </c>
      <c r="D4" s="153"/>
      <c r="E4" s="153"/>
      <c r="F4" s="153"/>
      <c r="G4" s="153"/>
      <c r="H4" s="154"/>
      <c r="I4" s="110" t="s">
        <v>53</v>
      </c>
      <c r="J4" s="153"/>
      <c r="K4" s="153"/>
      <c r="L4" s="153"/>
      <c r="M4" s="154"/>
      <c r="N4" s="97" t="s">
        <v>54</v>
      </c>
      <c r="O4" s="153"/>
      <c r="P4" s="153"/>
      <c r="Q4" s="154"/>
      <c r="R4" s="6"/>
    </row>
    <row r="5" spans="1:18" ht="14.25">
      <c r="A5" s="105"/>
      <c r="B5" s="73"/>
      <c r="C5" s="98" t="s">
        <v>55</v>
      </c>
      <c r="D5" s="153"/>
      <c r="E5" s="153"/>
      <c r="F5" s="153"/>
      <c r="G5" s="153"/>
      <c r="H5" s="154"/>
      <c r="I5" s="98"/>
      <c r="J5" s="153"/>
      <c r="K5" s="153"/>
      <c r="L5" s="153"/>
      <c r="M5" s="154"/>
      <c r="N5" s="98"/>
      <c r="O5" s="153"/>
      <c r="P5" s="153"/>
      <c r="Q5" s="154"/>
      <c r="R5" s="6"/>
    </row>
    <row r="6" spans="1:18" ht="60" customHeight="1">
      <c r="A6" s="119" t="s">
        <v>56</v>
      </c>
      <c r="B6" s="73"/>
      <c r="C6" s="82" t="s">
        <v>57</v>
      </c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3"/>
      <c r="R6" s="6"/>
    </row>
    <row r="7" spans="1:18" ht="15">
      <c r="A7" s="123" t="s">
        <v>58</v>
      </c>
      <c r="B7" s="104"/>
      <c r="C7" s="120" t="s">
        <v>59</v>
      </c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4"/>
      <c r="R7" s="6"/>
    </row>
    <row r="8" spans="1:18" ht="30.75" customHeight="1">
      <c r="A8" s="124"/>
      <c r="B8" s="104"/>
      <c r="C8" s="92" t="s">
        <v>60</v>
      </c>
      <c r="D8" s="154"/>
      <c r="E8" s="140" t="s">
        <v>61</v>
      </c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2"/>
      <c r="R8" s="6"/>
    </row>
    <row r="9" spans="1:18" ht="14.25">
      <c r="A9" s="124"/>
      <c r="B9" s="104"/>
      <c r="C9" s="155"/>
      <c r="D9" s="154"/>
      <c r="E9" s="155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4"/>
      <c r="R9" s="6"/>
    </row>
    <row r="10" spans="1:18">
      <c r="A10" s="124"/>
      <c r="B10" s="104"/>
      <c r="C10" s="156"/>
      <c r="D10" s="154"/>
      <c r="E10" s="156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4"/>
      <c r="R10" s="6"/>
    </row>
    <row r="11" spans="1:18">
      <c r="A11" s="124"/>
      <c r="B11" s="104"/>
      <c r="C11" s="156"/>
      <c r="D11" s="154"/>
      <c r="E11" s="156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4"/>
      <c r="R11" s="6"/>
    </row>
    <row r="12" spans="1:18" ht="15">
      <c r="A12" s="124"/>
      <c r="B12" s="104"/>
      <c r="C12" s="120" t="s">
        <v>62</v>
      </c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4"/>
      <c r="O12" s="120" t="s">
        <v>63</v>
      </c>
      <c r="P12" s="120"/>
      <c r="Q12" s="154"/>
      <c r="R12" s="6"/>
    </row>
    <row r="13" spans="1:18" ht="27.75" customHeight="1">
      <c r="A13" s="124"/>
      <c r="B13" s="104"/>
      <c r="C13" s="92" t="s">
        <v>64</v>
      </c>
      <c r="D13" s="154"/>
      <c r="E13" s="96" t="s">
        <v>65</v>
      </c>
      <c r="F13" s="153"/>
      <c r="G13" s="153"/>
      <c r="H13" s="153"/>
      <c r="I13" s="153"/>
      <c r="J13" s="153"/>
      <c r="K13" s="153"/>
      <c r="L13" s="153"/>
      <c r="M13" s="153"/>
      <c r="N13" s="154"/>
      <c r="O13" s="92" t="s">
        <v>60</v>
      </c>
      <c r="P13" s="92"/>
      <c r="Q13" s="154"/>
      <c r="R13" s="6"/>
    </row>
    <row r="14" spans="1:18" ht="28.5" customHeight="1">
      <c r="A14" s="124"/>
      <c r="B14" s="104"/>
      <c r="C14" s="92" t="s">
        <v>66</v>
      </c>
      <c r="D14" s="154"/>
      <c r="E14" s="140" t="s">
        <v>67</v>
      </c>
      <c r="F14" s="141"/>
      <c r="G14" s="141"/>
      <c r="H14" s="141"/>
      <c r="I14" s="141"/>
      <c r="J14" s="141"/>
      <c r="K14" s="141"/>
      <c r="L14" s="141"/>
      <c r="M14" s="141"/>
      <c r="N14" s="142"/>
      <c r="O14" s="92" t="s">
        <v>60</v>
      </c>
      <c r="P14" s="92"/>
      <c r="Q14" s="154"/>
      <c r="R14" s="6"/>
    </row>
    <row r="15" spans="1:18" ht="14.25">
      <c r="A15" s="124"/>
      <c r="B15" s="104"/>
      <c r="C15" s="92"/>
      <c r="D15" s="154"/>
      <c r="E15" s="155"/>
      <c r="F15" s="153"/>
      <c r="G15" s="153"/>
      <c r="H15" s="153"/>
      <c r="I15" s="153"/>
      <c r="J15" s="153"/>
      <c r="K15" s="153"/>
      <c r="L15" s="153"/>
      <c r="M15" s="153"/>
      <c r="N15" s="154"/>
      <c r="O15" s="92"/>
      <c r="P15" s="92"/>
      <c r="Q15" s="154"/>
      <c r="R15" s="6"/>
    </row>
    <row r="16" spans="1:18" ht="14.25">
      <c r="A16" s="124"/>
      <c r="B16" s="104"/>
      <c r="C16" s="92"/>
      <c r="D16" s="154"/>
      <c r="E16" s="155"/>
      <c r="F16" s="153"/>
      <c r="G16" s="153"/>
      <c r="H16" s="153"/>
      <c r="I16" s="153"/>
      <c r="J16" s="153"/>
      <c r="K16" s="153"/>
      <c r="L16" s="153"/>
      <c r="M16" s="153"/>
      <c r="N16" s="154"/>
      <c r="O16" s="92"/>
      <c r="P16" s="92"/>
      <c r="Q16" s="154"/>
      <c r="R16" s="6"/>
    </row>
    <row r="17" spans="1:18" ht="14.25">
      <c r="A17" s="105"/>
      <c r="B17" s="73"/>
      <c r="C17" s="92"/>
      <c r="D17" s="157"/>
      <c r="E17" s="91"/>
      <c r="F17" s="158"/>
      <c r="G17" s="158"/>
      <c r="H17" s="158"/>
      <c r="I17" s="158"/>
      <c r="J17" s="158"/>
      <c r="K17" s="158"/>
      <c r="L17" s="158"/>
      <c r="M17" s="158"/>
      <c r="N17" s="157"/>
      <c r="O17" s="92"/>
      <c r="P17" s="92"/>
      <c r="Q17" s="154"/>
      <c r="R17" s="6"/>
    </row>
    <row r="18" spans="1:18">
      <c r="A18" s="103" t="s">
        <v>68</v>
      </c>
      <c r="B18" s="104"/>
      <c r="C18" s="93" t="s">
        <v>69</v>
      </c>
      <c r="D18" s="126" t="s">
        <v>70</v>
      </c>
      <c r="E18" s="127"/>
      <c r="F18" s="127"/>
      <c r="G18" s="127"/>
      <c r="H18" s="127"/>
      <c r="I18" s="127"/>
      <c r="J18" s="127"/>
      <c r="K18" s="127"/>
      <c r="L18" s="127"/>
      <c r="M18" s="127"/>
      <c r="N18" s="128"/>
      <c r="O18" s="143" t="s">
        <v>71</v>
      </c>
      <c r="P18" s="144"/>
      <c r="Q18" s="145"/>
      <c r="R18" s="6"/>
    </row>
    <row r="19" spans="1:18" ht="15">
      <c r="A19" s="103"/>
      <c r="B19" s="104"/>
      <c r="C19" s="93"/>
      <c r="D19" s="90" t="s">
        <v>72</v>
      </c>
      <c r="E19" s="90"/>
      <c r="F19" s="90"/>
      <c r="G19" s="90"/>
      <c r="H19" s="89" t="s">
        <v>73</v>
      </c>
      <c r="I19" s="89"/>
      <c r="J19" s="89"/>
      <c r="K19" s="89"/>
      <c r="L19" s="89"/>
      <c r="M19" s="89" t="s">
        <v>74</v>
      </c>
      <c r="N19" s="89"/>
      <c r="O19" s="144"/>
      <c r="P19" s="144"/>
      <c r="Q19" s="145"/>
      <c r="R19" s="6"/>
    </row>
    <row r="20" spans="1:18" ht="60" customHeight="1">
      <c r="A20" s="124"/>
      <c r="B20" s="104"/>
      <c r="C20" s="94"/>
      <c r="D20" s="95" t="s">
        <v>75</v>
      </c>
      <c r="E20" s="94"/>
      <c r="F20" s="95" t="s">
        <v>76</v>
      </c>
      <c r="G20" s="94"/>
      <c r="H20" s="95" t="s">
        <v>77</v>
      </c>
      <c r="I20" s="94"/>
      <c r="J20" s="16" t="s">
        <v>78</v>
      </c>
      <c r="K20" s="95" t="s">
        <v>79</v>
      </c>
      <c r="L20" s="94"/>
      <c r="M20" s="95"/>
      <c r="N20" s="94"/>
      <c r="O20" s="146"/>
      <c r="P20" s="146"/>
      <c r="Q20" s="147"/>
      <c r="R20" s="6"/>
    </row>
    <row r="21" spans="1:18" ht="15">
      <c r="A21" s="124"/>
      <c r="B21" s="104"/>
      <c r="C21" s="4" t="s">
        <v>64</v>
      </c>
      <c r="D21" s="138">
        <v>7.5</v>
      </c>
      <c r="E21" s="139"/>
      <c r="F21" s="88">
        <v>5</v>
      </c>
      <c r="G21" s="86"/>
      <c r="H21" s="88">
        <v>25</v>
      </c>
      <c r="I21" s="86"/>
      <c r="J21" s="26"/>
      <c r="K21" s="87">
        <v>10</v>
      </c>
      <c r="L21" s="86"/>
      <c r="M21" s="87"/>
      <c r="N21" s="86"/>
      <c r="O21" s="85">
        <f t="shared" ref="O21:O25" si="0">SUM(D21:N21)</f>
        <v>47.5</v>
      </c>
      <c r="P21" s="85"/>
      <c r="Q21" s="86"/>
      <c r="R21" s="6"/>
    </row>
    <row r="22" spans="1:18" ht="15">
      <c r="A22" s="124"/>
      <c r="B22" s="104"/>
      <c r="C22" s="4" t="s">
        <v>66</v>
      </c>
      <c r="D22" s="138">
        <v>7.5</v>
      </c>
      <c r="E22" s="139"/>
      <c r="F22" s="88">
        <v>10</v>
      </c>
      <c r="G22" s="86"/>
      <c r="H22" s="88"/>
      <c r="I22" s="86"/>
      <c r="J22" s="26">
        <v>25</v>
      </c>
      <c r="K22" s="87">
        <v>10</v>
      </c>
      <c r="L22" s="86"/>
      <c r="M22" s="87"/>
      <c r="N22" s="86"/>
      <c r="O22" s="85">
        <f t="shared" si="0"/>
        <v>52.5</v>
      </c>
      <c r="P22" s="85"/>
      <c r="Q22" s="86"/>
      <c r="R22" s="6"/>
    </row>
    <row r="23" spans="1:18" ht="15">
      <c r="A23" s="124"/>
      <c r="B23" s="104"/>
      <c r="C23" s="4"/>
      <c r="D23" s="88"/>
      <c r="E23" s="86"/>
      <c r="F23" s="88"/>
      <c r="G23" s="86"/>
      <c r="H23" s="88"/>
      <c r="I23" s="86"/>
      <c r="J23" s="27"/>
      <c r="K23" s="87"/>
      <c r="L23" s="86"/>
      <c r="M23" s="87"/>
      <c r="N23" s="86"/>
      <c r="O23" s="85">
        <f t="shared" si="0"/>
        <v>0</v>
      </c>
      <c r="P23" s="85"/>
      <c r="Q23" s="86"/>
      <c r="R23" s="6"/>
    </row>
    <row r="24" spans="1:18" ht="15">
      <c r="A24" s="124"/>
      <c r="B24" s="104"/>
      <c r="C24" s="4"/>
      <c r="D24" s="88"/>
      <c r="E24" s="86"/>
      <c r="F24" s="88"/>
      <c r="G24" s="86"/>
      <c r="H24" s="88"/>
      <c r="I24" s="86"/>
      <c r="J24" s="26"/>
      <c r="K24" s="87"/>
      <c r="L24" s="86"/>
      <c r="M24" s="87"/>
      <c r="N24" s="86"/>
      <c r="O24" s="85">
        <f t="shared" si="0"/>
        <v>0</v>
      </c>
      <c r="P24" s="85"/>
      <c r="Q24" s="86"/>
      <c r="R24" s="6"/>
    </row>
    <row r="25" spans="1:18" ht="15">
      <c r="A25" s="124"/>
      <c r="B25" s="104"/>
      <c r="C25" s="4"/>
      <c r="D25" s="88"/>
      <c r="E25" s="86"/>
      <c r="F25" s="88"/>
      <c r="G25" s="86"/>
      <c r="H25" s="88"/>
      <c r="I25" s="86"/>
      <c r="J25" s="27"/>
      <c r="K25" s="87"/>
      <c r="L25" s="86"/>
      <c r="M25" s="87"/>
      <c r="N25" s="86"/>
      <c r="O25" s="85">
        <f t="shared" si="0"/>
        <v>0</v>
      </c>
      <c r="P25" s="85"/>
      <c r="Q25" s="86"/>
      <c r="R25" s="6"/>
    </row>
    <row r="26" spans="1:18" ht="15">
      <c r="A26" s="105"/>
      <c r="B26" s="73"/>
      <c r="C26" s="5" t="s">
        <v>80</v>
      </c>
      <c r="D26" s="129">
        <f t="shared" ref="D26" si="1">SUM(D21:D25)</f>
        <v>15</v>
      </c>
      <c r="E26" s="130"/>
      <c r="F26" s="129">
        <f t="shared" ref="F26:H26" si="2">SUM(F21:F25)</f>
        <v>15</v>
      </c>
      <c r="G26" s="130"/>
      <c r="H26" s="129">
        <f t="shared" si="2"/>
        <v>25</v>
      </c>
      <c r="I26" s="130"/>
      <c r="J26" s="28">
        <f>SUM(J21:J25)</f>
        <v>25</v>
      </c>
      <c r="K26" s="79">
        <f>SUM(K21:L25)</f>
        <v>20</v>
      </c>
      <c r="L26" s="154"/>
      <c r="M26" s="79"/>
      <c r="N26" s="154"/>
      <c r="O26" s="79">
        <f>SUM(O21:Q25)</f>
        <v>100</v>
      </c>
      <c r="P26" s="79"/>
      <c r="Q26" s="154"/>
      <c r="R26" s="6"/>
    </row>
    <row r="27" spans="1:18" ht="15">
      <c r="A27" s="103" t="s">
        <v>81</v>
      </c>
      <c r="B27" s="104"/>
      <c r="C27" s="70" t="s">
        <v>82</v>
      </c>
      <c r="D27" s="153"/>
      <c r="E27" s="154"/>
      <c r="F27" s="156" t="s">
        <v>83</v>
      </c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4"/>
      <c r="R27" s="6"/>
    </row>
    <row r="28" spans="1:18" ht="14.25">
      <c r="A28" s="124"/>
      <c r="B28" s="104"/>
      <c r="C28" s="71" t="s">
        <v>84</v>
      </c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3"/>
      <c r="R28" s="6"/>
    </row>
    <row r="29" spans="1:18" ht="15">
      <c r="A29" s="124"/>
      <c r="B29" s="104"/>
      <c r="C29" s="80" t="s">
        <v>85</v>
      </c>
      <c r="D29" s="72"/>
      <c r="E29" s="73"/>
      <c r="F29" s="81" t="s">
        <v>86</v>
      </c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3"/>
      <c r="R29" s="6"/>
    </row>
    <row r="30" spans="1:18">
      <c r="A30" s="105"/>
      <c r="B30" s="73"/>
      <c r="C30" s="82" t="s">
        <v>87</v>
      </c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4"/>
      <c r="R30" s="6"/>
    </row>
    <row r="31" spans="1:18" ht="15">
      <c r="A31" s="103" t="s">
        <v>88</v>
      </c>
      <c r="B31" s="104"/>
      <c r="C31" s="70" t="s">
        <v>89</v>
      </c>
      <c r="D31" s="153"/>
      <c r="E31" s="153"/>
      <c r="F31" s="153"/>
      <c r="G31" s="153"/>
      <c r="H31" s="153"/>
      <c r="I31" s="153"/>
      <c r="J31" s="154"/>
      <c r="K31" s="70" t="s">
        <v>90</v>
      </c>
      <c r="L31" s="153"/>
      <c r="M31" s="153"/>
      <c r="N31" s="153"/>
      <c r="O31" s="153"/>
      <c r="P31" s="153"/>
      <c r="Q31" s="154"/>
      <c r="R31" s="6"/>
    </row>
    <row r="32" spans="1:18" ht="14.25">
      <c r="A32" s="105"/>
      <c r="B32" s="73"/>
      <c r="C32" s="71" t="s">
        <v>91</v>
      </c>
      <c r="D32" s="72"/>
      <c r="E32" s="72"/>
      <c r="F32" s="72"/>
      <c r="G32" s="72"/>
      <c r="H32" s="72"/>
      <c r="I32" s="72"/>
      <c r="J32" s="73"/>
      <c r="K32" s="71" t="s">
        <v>92</v>
      </c>
      <c r="L32" s="72"/>
      <c r="M32" s="72"/>
      <c r="N32" s="72"/>
      <c r="O32" s="72"/>
      <c r="P32" s="72"/>
      <c r="Q32" s="73"/>
      <c r="R32" s="6"/>
    </row>
    <row r="33" spans="1:18" ht="14.25">
      <c r="A33" s="125" t="s">
        <v>93</v>
      </c>
      <c r="B33" s="73"/>
      <c r="C33" s="71" t="s">
        <v>94</v>
      </c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3"/>
      <c r="R33" s="6"/>
    </row>
    <row r="34" spans="1:18" ht="15">
      <c r="A34" s="119" t="s">
        <v>95</v>
      </c>
      <c r="B34" s="73"/>
      <c r="C34" s="156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4"/>
      <c r="R34" s="6"/>
    </row>
    <row r="35" spans="1:18" ht="32.25" customHeight="1">
      <c r="A35" s="117" t="s">
        <v>96</v>
      </c>
      <c r="B35" s="73"/>
      <c r="C35" s="18">
        <v>50.01</v>
      </c>
      <c r="D35" s="71" t="s">
        <v>97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3"/>
      <c r="R35" s="6"/>
    </row>
    <row r="36" spans="1:18" ht="14.25">
      <c r="A36" s="117" t="s">
        <v>98</v>
      </c>
      <c r="B36" s="73"/>
      <c r="C36" s="2">
        <v>0.85499999999999998</v>
      </c>
      <c r="D36" s="135" t="s">
        <v>99</v>
      </c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7"/>
      <c r="R36" s="6"/>
    </row>
    <row r="37" spans="1:18">
      <c r="A37" s="6"/>
      <c r="B37" s="6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>
      <c r="A38" s="3"/>
      <c r="B38" s="3"/>
      <c r="C38" s="8"/>
      <c r="D38" s="6"/>
      <c r="E38" s="6"/>
      <c r="F38" s="6"/>
      <c r="G38" s="6"/>
      <c r="H38" s="3"/>
      <c r="I38" s="3"/>
      <c r="J38" s="3"/>
      <c r="K38" s="3"/>
      <c r="L38" s="3"/>
      <c r="M38" s="3"/>
      <c r="N38" s="3"/>
      <c r="O38" s="3"/>
      <c r="P38" s="3"/>
      <c r="Q38" s="20"/>
      <c r="R38" s="6"/>
    </row>
    <row r="39" spans="1:18" ht="35.25">
      <c r="A39" s="17" t="s">
        <v>100</v>
      </c>
      <c r="B39" s="19" t="s">
        <v>101</v>
      </c>
      <c r="C39" s="56" t="s">
        <v>102</v>
      </c>
      <c r="D39" s="75"/>
      <c r="E39" s="74"/>
      <c r="F39" s="56" t="s">
        <v>103</v>
      </c>
      <c r="G39" s="74"/>
      <c r="H39" s="17" t="s">
        <v>104</v>
      </c>
      <c r="I39" s="56" t="s">
        <v>105</v>
      </c>
      <c r="J39" s="74"/>
      <c r="K39" s="56" t="s">
        <v>106</v>
      </c>
      <c r="L39" s="74"/>
      <c r="M39" s="56" t="s">
        <v>107</v>
      </c>
      <c r="N39" s="74"/>
      <c r="O39" s="56" t="s">
        <v>108</v>
      </c>
      <c r="P39" s="57"/>
      <c r="Q39" s="22" t="s">
        <v>109</v>
      </c>
      <c r="R39" s="20"/>
    </row>
    <row r="40" spans="1:18" ht="84.75" customHeight="1">
      <c r="A40" s="29">
        <v>1</v>
      </c>
      <c r="B40" s="30" t="s">
        <v>110</v>
      </c>
      <c r="C40" s="52" t="s">
        <v>111</v>
      </c>
      <c r="D40" s="66"/>
      <c r="E40" s="53"/>
      <c r="F40" s="52" t="s">
        <v>112</v>
      </c>
      <c r="G40" s="53"/>
      <c r="H40" s="31" t="s">
        <v>113</v>
      </c>
      <c r="I40" s="52" t="s">
        <v>114</v>
      </c>
      <c r="J40" s="53"/>
      <c r="K40" s="49" t="s">
        <v>115</v>
      </c>
      <c r="L40" s="53"/>
      <c r="M40" s="49" t="s">
        <v>116</v>
      </c>
      <c r="N40" s="68"/>
      <c r="O40" s="47"/>
      <c r="P40" s="48"/>
      <c r="Q40" s="32">
        <v>5</v>
      </c>
      <c r="R40" s="20"/>
    </row>
    <row r="41" spans="1:18" ht="150" customHeight="1">
      <c r="A41" s="33">
        <v>2</v>
      </c>
      <c r="B41" s="34" t="s">
        <v>110</v>
      </c>
      <c r="C41" s="58" t="s">
        <v>117</v>
      </c>
      <c r="D41" s="59"/>
      <c r="E41" s="55"/>
      <c r="F41" s="58" t="s">
        <v>118</v>
      </c>
      <c r="G41" s="55"/>
      <c r="H41" s="35" t="s">
        <v>119</v>
      </c>
      <c r="I41" s="58" t="s">
        <v>120</v>
      </c>
      <c r="J41" s="55"/>
      <c r="K41" s="54" t="s">
        <v>121</v>
      </c>
      <c r="L41" s="55"/>
      <c r="M41" s="54" t="s">
        <v>116</v>
      </c>
      <c r="N41" s="134"/>
      <c r="O41" s="43"/>
      <c r="P41" s="44"/>
      <c r="Q41" s="33"/>
      <c r="R41" s="20"/>
    </row>
    <row r="42" spans="1:18" ht="150" customHeight="1">
      <c r="A42" s="36">
        <v>3</v>
      </c>
      <c r="B42" s="30" t="s">
        <v>110</v>
      </c>
      <c r="C42" s="52" t="s">
        <v>122</v>
      </c>
      <c r="D42" s="66"/>
      <c r="E42" s="53"/>
      <c r="F42" s="52" t="s">
        <v>123</v>
      </c>
      <c r="G42" s="53"/>
      <c r="H42" s="31" t="s">
        <v>124</v>
      </c>
      <c r="I42" s="52" t="s">
        <v>125</v>
      </c>
      <c r="J42" s="53"/>
      <c r="K42" s="49" t="s">
        <v>126</v>
      </c>
      <c r="L42" s="53"/>
      <c r="M42" s="49" t="s">
        <v>116</v>
      </c>
      <c r="N42" s="68"/>
      <c r="O42" s="49"/>
      <c r="P42" s="50"/>
      <c r="Q42" s="31">
        <v>2.5</v>
      </c>
      <c r="R42" s="20"/>
    </row>
    <row r="43" spans="1:18" ht="150" customHeight="1">
      <c r="A43" s="36">
        <v>4</v>
      </c>
      <c r="B43" s="29" t="s">
        <v>110</v>
      </c>
      <c r="C43" s="52" t="s">
        <v>127</v>
      </c>
      <c r="D43" s="66"/>
      <c r="E43" s="53"/>
      <c r="F43" s="52" t="s">
        <v>128</v>
      </c>
      <c r="G43" s="53"/>
      <c r="H43" s="31" t="s">
        <v>129</v>
      </c>
      <c r="I43" s="52" t="s">
        <v>130</v>
      </c>
      <c r="J43" s="53"/>
      <c r="K43" s="49" t="s">
        <v>126</v>
      </c>
      <c r="L43" s="53"/>
      <c r="M43" s="49" t="s">
        <v>116</v>
      </c>
      <c r="N43" s="53"/>
      <c r="O43" s="49"/>
      <c r="P43" s="50"/>
      <c r="Q43" s="31">
        <v>5</v>
      </c>
      <c r="R43" s="20"/>
    </row>
    <row r="44" spans="1:18" ht="150" customHeight="1">
      <c r="A44" s="33">
        <v>5</v>
      </c>
      <c r="B44" s="34" t="s">
        <v>110</v>
      </c>
      <c r="C44" s="58" t="s">
        <v>131</v>
      </c>
      <c r="D44" s="59"/>
      <c r="E44" s="55"/>
      <c r="F44" s="58" t="s">
        <v>132</v>
      </c>
      <c r="G44" s="55"/>
      <c r="H44" s="35" t="s">
        <v>133</v>
      </c>
      <c r="I44" s="58" t="s">
        <v>134</v>
      </c>
      <c r="J44" s="55"/>
      <c r="K44" s="54" t="s">
        <v>121</v>
      </c>
      <c r="L44" s="55"/>
      <c r="M44" s="54"/>
      <c r="N44" s="55"/>
      <c r="O44" s="54" t="s">
        <v>135</v>
      </c>
      <c r="P44" s="132"/>
      <c r="Q44" s="37">
        <v>2.5</v>
      </c>
      <c r="R44" s="20"/>
    </row>
    <row r="45" spans="1:18" ht="150" customHeight="1">
      <c r="A45" s="36">
        <v>6</v>
      </c>
      <c r="B45" s="30" t="s">
        <v>110</v>
      </c>
      <c r="C45" s="52" t="s">
        <v>136</v>
      </c>
      <c r="D45" s="66"/>
      <c r="E45" s="53"/>
      <c r="F45" s="52" t="s">
        <v>137</v>
      </c>
      <c r="G45" s="53"/>
      <c r="H45" s="31" t="s">
        <v>133</v>
      </c>
      <c r="I45" s="52" t="s">
        <v>138</v>
      </c>
      <c r="J45" s="53"/>
      <c r="K45" s="49" t="s">
        <v>121</v>
      </c>
      <c r="L45" s="53"/>
      <c r="M45" s="49" t="s">
        <v>116</v>
      </c>
      <c r="N45" s="53"/>
      <c r="O45" s="47"/>
      <c r="P45" s="48"/>
      <c r="Q45" s="36">
        <v>2.5</v>
      </c>
      <c r="R45" s="20"/>
    </row>
    <row r="46" spans="1:18" ht="150" customHeight="1">
      <c r="A46" s="33">
        <v>7</v>
      </c>
      <c r="B46" s="34" t="s">
        <v>139</v>
      </c>
      <c r="C46" s="58" t="s">
        <v>140</v>
      </c>
      <c r="D46" s="59"/>
      <c r="E46" s="55"/>
      <c r="F46" s="58" t="s">
        <v>141</v>
      </c>
      <c r="G46" s="55"/>
      <c r="H46" s="35" t="s">
        <v>129</v>
      </c>
      <c r="I46" s="58" t="s">
        <v>142</v>
      </c>
      <c r="J46" s="55"/>
      <c r="K46" s="54" t="s">
        <v>143</v>
      </c>
      <c r="L46" s="55"/>
      <c r="M46" s="54"/>
      <c r="N46" s="55"/>
      <c r="O46" s="54" t="s">
        <v>135</v>
      </c>
      <c r="P46" s="132"/>
      <c r="Q46" s="33">
        <v>5</v>
      </c>
      <c r="R46" s="20"/>
    </row>
    <row r="47" spans="1:18" ht="150" customHeight="1">
      <c r="A47" s="38">
        <v>8</v>
      </c>
      <c r="B47" s="39" t="s">
        <v>110</v>
      </c>
      <c r="C47" s="60" t="s">
        <v>144</v>
      </c>
      <c r="D47" s="61"/>
      <c r="E47" s="62"/>
      <c r="F47" s="60" t="s">
        <v>145</v>
      </c>
      <c r="G47" s="62"/>
      <c r="H47" s="40" t="s">
        <v>146</v>
      </c>
      <c r="I47" s="60" t="s">
        <v>110</v>
      </c>
      <c r="J47" s="62"/>
      <c r="K47" s="63" t="s">
        <v>147</v>
      </c>
      <c r="L47" s="62"/>
      <c r="M47" s="63"/>
      <c r="N47" s="62"/>
      <c r="O47" s="63" t="s">
        <v>148</v>
      </c>
      <c r="P47" s="133"/>
      <c r="Q47" s="38">
        <v>25</v>
      </c>
      <c r="R47" s="20"/>
    </row>
    <row r="48" spans="1:18" ht="150" customHeight="1">
      <c r="A48" s="36">
        <v>9</v>
      </c>
      <c r="B48" s="29" t="s">
        <v>139</v>
      </c>
      <c r="C48" s="49" t="s">
        <v>149</v>
      </c>
      <c r="D48" s="50"/>
      <c r="E48" s="65"/>
      <c r="F48" s="49" t="s">
        <v>150</v>
      </c>
      <c r="G48" s="65"/>
      <c r="H48" s="31" t="s">
        <v>151</v>
      </c>
      <c r="I48" s="49" t="s">
        <v>152</v>
      </c>
      <c r="J48" s="65"/>
      <c r="K48" s="49" t="s">
        <v>126</v>
      </c>
      <c r="L48" s="65"/>
      <c r="M48" s="49" t="s">
        <v>116</v>
      </c>
      <c r="N48" s="65"/>
      <c r="O48" s="47"/>
      <c r="P48" s="51"/>
      <c r="Q48" s="36">
        <v>2.5</v>
      </c>
      <c r="R48" s="20"/>
    </row>
    <row r="49" spans="1:18" ht="150" customHeight="1">
      <c r="A49" s="33">
        <v>10</v>
      </c>
      <c r="B49" s="34" t="s">
        <v>153</v>
      </c>
      <c r="C49" s="58" t="s">
        <v>154</v>
      </c>
      <c r="D49" s="59"/>
      <c r="E49" s="55"/>
      <c r="F49" s="58" t="s">
        <v>155</v>
      </c>
      <c r="G49" s="55"/>
      <c r="H49" s="35" t="s">
        <v>156</v>
      </c>
      <c r="I49" s="58" t="s">
        <v>157</v>
      </c>
      <c r="J49" s="55"/>
      <c r="K49" s="54" t="s">
        <v>147</v>
      </c>
      <c r="L49" s="55"/>
      <c r="M49" s="54"/>
      <c r="N49" s="55"/>
      <c r="O49" s="54" t="s">
        <v>135</v>
      </c>
      <c r="P49" s="132"/>
      <c r="Q49" s="41">
        <v>5</v>
      </c>
      <c r="R49" s="20"/>
    </row>
    <row r="50" spans="1:18" ht="150" customHeight="1">
      <c r="A50" s="36">
        <v>11</v>
      </c>
      <c r="B50" s="29" t="s">
        <v>139</v>
      </c>
      <c r="C50" s="52" t="s">
        <v>158</v>
      </c>
      <c r="D50" s="66"/>
      <c r="E50" s="53"/>
      <c r="F50" s="69" t="s">
        <v>159</v>
      </c>
      <c r="G50" s="53"/>
      <c r="H50" s="31" t="s">
        <v>160</v>
      </c>
      <c r="I50" s="52" t="s">
        <v>161</v>
      </c>
      <c r="J50" s="53"/>
      <c r="K50" s="49" t="s">
        <v>162</v>
      </c>
      <c r="L50" s="53"/>
      <c r="M50" s="49" t="s">
        <v>116</v>
      </c>
      <c r="N50" s="76"/>
      <c r="O50" s="47"/>
      <c r="P50" s="48"/>
      <c r="Q50" s="36" t="s">
        <v>163</v>
      </c>
      <c r="R50" s="20"/>
    </row>
    <row r="51" spans="1:18" ht="150" customHeight="1">
      <c r="A51" s="33">
        <v>12</v>
      </c>
      <c r="B51" s="34" t="s">
        <v>139</v>
      </c>
      <c r="C51" s="58" t="s">
        <v>164</v>
      </c>
      <c r="D51" s="59"/>
      <c r="E51" s="55"/>
      <c r="F51" s="64" t="s">
        <v>165</v>
      </c>
      <c r="G51" s="55"/>
      <c r="H51" s="35" t="s">
        <v>156</v>
      </c>
      <c r="I51" s="121" t="s">
        <v>166</v>
      </c>
      <c r="J51" s="122"/>
      <c r="K51" s="54" t="s">
        <v>167</v>
      </c>
      <c r="L51" s="55"/>
      <c r="M51" s="43"/>
      <c r="N51" s="77"/>
      <c r="O51" s="54" t="s">
        <v>168</v>
      </c>
      <c r="P51" s="132"/>
      <c r="Q51" s="33">
        <v>5</v>
      </c>
      <c r="R51" s="20"/>
    </row>
    <row r="52" spans="1:18" ht="150" customHeight="1">
      <c r="A52" s="36">
        <v>13</v>
      </c>
      <c r="B52" s="30" t="s">
        <v>139</v>
      </c>
      <c r="C52" s="52" t="s">
        <v>169</v>
      </c>
      <c r="D52" s="66"/>
      <c r="E52" s="53"/>
      <c r="F52" s="52" t="s">
        <v>170</v>
      </c>
      <c r="G52" s="53"/>
      <c r="H52" s="31" t="s">
        <v>171</v>
      </c>
      <c r="I52" s="52" t="s">
        <v>172</v>
      </c>
      <c r="J52" s="53"/>
      <c r="K52" s="49" t="s">
        <v>162</v>
      </c>
      <c r="L52" s="53"/>
      <c r="M52" s="47"/>
      <c r="N52" s="76"/>
      <c r="O52" s="47" t="s">
        <v>148</v>
      </c>
      <c r="P52" s="48"/>
      <c r="Q52" s="36">
        <v>5</v>
      </c>
      <c r="R52" s="20"/>
    </row>
    <row r="53" spans="1:18" ht="150" customHeight="1">
      <c r="A53" s="36">
        <v>14</v>
      </c>
      <c r="B53" s="30" t="s">
        <v>139</v>
      </c>
      <c r="C53" s="52" t="s">
        <v>173</v>
      </c>
      <c r="D53" s="66"/>
      <c r="E53" s="53"/>
      <c r="F53" s="67" t="s">
        <v>174</v>
      </c>
      <c r="G53" s="68"/>
      <c r="H53" s="31" t="s">
        <v>151</v>
      </c>
      <c r="I53" s="52" t="s">
        <v>175</v>
      </c>
      <c r="J53" s="53"/>
      <c r="K53" s="49" t="s">
        <v>162</v>
      </c>
      <c r="L53" s="53"/>
      <c r="M53" s="49" t="s">
        <v>116</v>
      </c>
      <c r="N53" s="131"/>
      <c r="O53" s="49"/>
      <c r="P53" s="50"/>
      <c r="Q53" s="31">
        <v>2.5</v>
      </c>
      <c r="R53" s="20"/>
    </row>
    <row r="54" spans="1:18" ht="150" customHeight="1">
      <c r="A54" s="33">
        <v>15</v>
      </c>
      <c r="B54" s="42" t="s">
        <v>139</v>
      </c>
      <c r="C54" s="58" t="s">
        <v>176</v>
      </c>
      <c r="D54" s="59"/>
      <c r="E54" s="55"/>
      <c r="F54" s="58" t="s">
        <v>177</v>
      </c>
      <c r="G54" s="55"/>
      <c r="H54" s="35" t="s">
        <v>156</v>
      </c>
      <c r="I54" s="58" t="s">
        <v>178</v>
      </c>
      <c r="J54" s="55"/>
      <c r="K54" s="54" t="s">
        <v>179</v>
      </c>
      <c r="L54" s="55"/>
      <c r="M54" s="54" t="s">
        <v>116</v>
      </c>
      <c r="N54" s="77"/>
      <c r="O54" s="43"/>
      <c r="P54" s="44"/>
      <c r="Q54" s="35">
        <v>5</v>
      </c>
      <c r="R54" s="20"/>
    </row>
    <row r="55" spans="1:18" ht="150" customHeight="1">
      <c r="A55" s="38">
        <v>16</v>
      </c>
      <c r="B55" s="39" t="s">
        <v>139</v>
      </c>
      <c r="C55" s="60" t="s">
        <v>180</v>
      </c>
      <c r="D55" s="61"/>
      <c r="E55" s="62"/>
      <c r="F55" s="60" t="s">
        <v>181</v>
      </c>
      <c r="G55" s="62"/>
      <c r="H55" s="40" t="s">
        <v>182</v>
      </c>
      <c r="I55" s="60" t="s">
        <v>139</v>
      </c>
      <c r="J55" s="62"/>
      <c r="K55" s="63" t="s">
        <v>147</v>
      </c>
      <c r="L55" s="62"/>
      <c r="M55" s="63"/>
      <c r="N55" s="78"/>
      <c r="O55" s="45" t="s">
        <v>148</v>
      </c>
      <c r="P55" s="46"/>
      <c r="Q55" s="40">
        <v>25</v>
      </c>
      <c r="R55" s="20"/>
    </row>
    <row r="56" spans="1:18">
      <c r="Q56" s="21"/>
    </row>
    <row r="71" spans="1:18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18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1:1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1:18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1:18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1:18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1:18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1:18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1:18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1:1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1:18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1:18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8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1:18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1:18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1:18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1:18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1:18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1:18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1:1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1:18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1:18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1:18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1:18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1:18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1:18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1:18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1:18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1: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1:18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1:18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1:18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1:18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1:18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1:18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1:18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1:18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1:18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1:1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1:18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1:18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1:18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1:18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1:18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1:18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1:18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1:18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1:18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1:1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1:18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1:18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1:18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1:18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1:18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1:18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1:18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1:18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1:18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1:1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1:18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1:18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1:18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1:18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1:18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1:18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1:18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1:18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1:18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1:1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1:18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1:18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1:18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1:18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1:18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1:18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1:18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1:18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1:18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1:1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1:18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1:18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1:18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1:18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1:18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1:18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1:18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1:18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1:18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1:1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1:18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1:18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1:18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1:18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1:18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1:18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1:18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1:18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1:18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1:1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1:18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1:18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1:18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1:18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1:18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1:18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spans="1:18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spans="1:18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spans="1:18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spans="1:1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spans="1:18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spans="1:18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spans="1:18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spans="1:18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spans="1:18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spans="1:18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spans="1:18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spans="1:18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spans="1:18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spans="1:1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spans="1:18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spans="1:18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spans="1:18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spans="1:18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spans="1:18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spans="1:18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spans="1:18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spans="1:18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spans="1:18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spans="1: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spans="1:18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spans="1:18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spans="1:18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spans="1:18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spans="1:18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spans="1:18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spans="1:18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spans="1:18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spans="1:18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spans="1:1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spans="1:18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spans="1:18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spans="1:18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spans="1:18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spans="1:18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spans="1:18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spans="1:18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spans="1:18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spans="1:18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spans="1:1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spans="1:18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spans="1:18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spans="1:18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spans="1:18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spans="1:18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1:18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spans="1:18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spans="1:18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spans="1:18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spans="1:1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spans="1:18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spans="1:18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spans="1:18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spans="1:18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spans="1:18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spans="1:18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spans="1:18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spans="1:18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spans="1:18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spans="1:1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spans="1:18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spans="1:18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spans="1:18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spans="1:18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spans="1:18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spans="1:18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spans="1:18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spans="1:18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spans="1:18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spans="1:1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spans="1:18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spans="1:18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spans="1:18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spans="1:18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spans="1:18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spans="1:18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spans="1:18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spans="1:18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spans="1:18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spans="1:1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spans="1:18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spans="1:18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spans="1:18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spans="1:18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spans="1:18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spans="1:18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spans="1:18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spans="1:18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spans="1:18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spans="1:1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spans="1:18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spans="1:18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spans="1:18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spans="1:18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spans="1:18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spans="1:18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spans="1:18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spans="1:18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spans="1:18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spans="1:1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spans="1:18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spans="1:18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spans="1:18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spans="1:18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spans="1:18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spans="1:18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spans="1:18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spans="1:18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spans="1:18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spans="1:1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spans="1:18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spans="1:18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spans="1:18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spans="1:18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spans="1:18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spans="1:18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 spans="1:18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 spans="1:18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spans="1:18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spans="1: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spans="1:18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spans="1:18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spans="1:18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spans="1:18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spans="1:18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spans="1:18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spans="1:18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spans="1:18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spans="1:18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spans="1:1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spans="1:18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spans="1:18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spans="1:18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spans="1:18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spans="1:18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 spans="1:18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 spans="1:18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spans="1:18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spans="1:18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spans="1:1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spans="1:18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spans="1:18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spans="1:18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spans="1:18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 spans="1:18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 spans="1:18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spans="1:18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spans="1:18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 spans="1:18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spans="1:1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spans="1:18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spans="1:18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spans="1:18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spans="1:18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spans="1:18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spans="1:18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spans="1:18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spans="1:18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spans="1:18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spans="1:1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spans="1:18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spans="1:18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spans="1:18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spans="1:18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spans="1:18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spans="1:18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spans="1:18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spans="1:18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spans="1:18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spans="1:1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 spans="1:18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spans="1:18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spans="1:18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spans="1:18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spans="1:18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spans="1:18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spans="1:18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spans="1:18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spans="1:18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spans="1:1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spans="1:18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 spans="1:18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spans="1:18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 spans="1:18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 spans="1:18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 spans="1:18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spans="1:18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spans="1:18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 spans="1:18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 spans="1:1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spans="1:18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 spans="1:18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 spans="1:18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 spans="1:18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 spans="1:18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spans="1:18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 spans="1:18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spans="1:18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 spans="1:18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spans="1:1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 spans="1:18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spans="1:18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 spans="1:18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 spans="1:18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 spans="1:18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spans="1:18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 spans="1:18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 spans="1:18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 spans="1:18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 spans="1:1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spans="1:18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spans="1:18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spans="1:18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spans="1:18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spans="1:18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spans="1:18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spans="1:18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spans="1:18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spans="1:18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spans="1: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 spans="1:18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spans="1:18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spans="1:18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 spans="1:18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 spans="1:18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 spans="1:18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spans="1:18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 spans="1:18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 spans="1:18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 spans="1:1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 spans="1:18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 spans="1:18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spans="1:18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spans="1:18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spans="1:18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spans="1:18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spans="1:18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spans="1:18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spans="1:18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spans="1:1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spans="1:18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spans="1:18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spans="1:18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spans="1:18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spans="1:18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spans="1:18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spans="1:18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spans="1:18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 spans="1:18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spans="1:1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spans="1:18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spans="1:18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spans="1:18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spans="1:18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spans="1:18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spans="1:18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spans="1:18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spans="1:18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spans="1:18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spans="1:1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 spans="1:18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spans="1:18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 spans="1:18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 spans="1:18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 spans="1:18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 spans="1:18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spans="1:18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 spans="1:18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spans="1:18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spans="1:1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spans="1:18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spans="1:18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spans="1:18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spans="1:18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spans="1:18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spans="1:18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spans="1:18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 spans="1:18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 spans="1:18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spans="1:1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 spans="1:18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 spans="1:18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spans="1:18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 spans="1:18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spans="1:18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spans="1:18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spans="1:18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spans="1:18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spans="1:18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spans="1:1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spans="1:18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spans="1:18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spans="1:18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 spans="1:18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spans="1:18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 spans="1:18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 spans="1:18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spans="1:18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 spans="1:18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 spans="1:1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spans="1:18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spans="1:18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spans="1:18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spans="1:18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 spans="1:18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spans="1:18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 spans="1:18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 spans="1:18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spans="1:18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spans="1:1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spans="1:18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spans="1:18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spans="1:18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spans="1:18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spans="1:18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spans="1:18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 spans="1:18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 spans="1:18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 spans="1:18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 spans="1: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 spans="1:18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 spans="1:18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 spans="1:18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 spans="1:18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 spans="1:18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 spans="1:18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 spans="1:18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 spans="1:18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 spans="1:18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 spans="1:1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 spans="1:18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 spans="1:18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 spans="1:18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spans="1:18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 spans="1:18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 spans="1:18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 spans="1:18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 spans="1:18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 spans="1:18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 spans="1:1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 spans="1:18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 spans="1:18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spans="1:18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 spans="1:18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spans="1:18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 spans="1:18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 spans="1:18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spans="1:18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 spans="1:18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spans="1:1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 spans="1:18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 spans="1:18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 spans="1:18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spans="1:18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 spans="1:18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 spans="1:18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 spans="1:18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 spans="1:18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spans="1:18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spans="1:1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spans="1:18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 spans="1:18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spans="1:18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spans="1:18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 spans="1:18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 spans="1:18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 spans="1:18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spans="1:18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 spans="1:18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spans="1:1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 spans="1:18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 spans="1:18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 spans="1:18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 spans="1:18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spans="1:18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spans="1:18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 spans="1:18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 spans="1:18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spans="1:18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spans="1:1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 spans="1:18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 spans="1:18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 spans="1:18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spans="1:18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 spans="1:18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spans="1:18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spans="1:18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spans="1:18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 spans="1:18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 spans="1:1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spans="1:18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 spans="1:18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spans="1:18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 spans="1:18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 spans="1:18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 spans="1:18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 spans="1:18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spans="1:18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 spans="1:18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 spans="1:1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 spans="1:18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 spans="1:18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 spans="1:18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spans="1:18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spans="1:18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spans="1:18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 spans="1:18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 spans="1:18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 spans="1:18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spans="1:1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spans="1:18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 spans="1:18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 spans="1:18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 spans="1:18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 spans="1:18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 spans="1:18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 spans="1:18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 spans="1:18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 spans="1:18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 spans="1: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 spans="1:18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 spans="1:18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spans="1:18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spans="1:18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spans="1:18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 spans="1:18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 spans="1:18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spans="1:18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 spans="1:18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spans="1:1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spans="1:18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 spans="1:18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 spans="1:18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 spans="1:18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 spans="1:18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spans="1:18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 spans="1:18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 spans="1:18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 spans="1:18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 spans="1:1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 spans="1:18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 spans="1:18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 spans="1:18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 spans="1:18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 spans="1:18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 spans="1:18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 spans="1:18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 spans="1:18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 spans="1:18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 spans="1:1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 spans="1:18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spans="1:18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 spans="1:18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 spans="1:18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spans="1:18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spans="1:18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 spans="1:18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 spans="1:18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 spans="1:18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spans="1:1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spans="1:18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spans="1:18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spans="1:18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spans="1:18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spans="1:18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spans="1:18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spans="1:18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spans="1:18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spans="1:18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spans="1:1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spans="1:18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spans="1:18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spans="1:18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spans="1:18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spans="1:18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spans="1:18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 spans="1:18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spans="1:18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spans="1:18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spans="1:1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 spans="1:18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spans="1:18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spans="1:18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spans="1:18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spans="1:18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spans="1:18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spans="1:18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spans="1:18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spans="1:18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spans="1:1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spans="1:18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spans="1:18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 spans="1:18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 spans="1:18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spans="1:18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spans="1:18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spans="1:18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 spans="1:18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 spans="1:18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 spans="1:1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 spans="1:18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spans="1:18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 spans="1:18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spans="1:18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spans="1:18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spans="1:18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spans="1:18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spans="1:18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 spans="1:18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 spans="1:1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 spans="1:18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 spans="1:18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 spans="1:18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spans="1:18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spans="1:18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 spans="1:18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 spans="1:18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spans="1:18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spans="1:18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spans="1: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spans="1:18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spans="1:18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 spans="1:18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 spans="1:18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spans="1:18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spans="1:18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spans="1:18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spans="1:18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spans="1:18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spans="1:1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spans="1:18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spans="1:18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 spans="1:18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 spans="1:18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 spans="1:18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 spans="1:18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 spans="1:18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 spans="1:18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 spans="1:18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spans="1:1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 spans="1:18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spans="1:18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 spans="1:18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spans="1:18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 spans="1:18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 spans="1:18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 spans="1:18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spans="1:18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spans="1:18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spans="1:1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spans="1:18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spans="1:18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spans="1:18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spans="1:18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spans="1:18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spans="1:18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 spans="1:18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 spans="1:18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 spans="1:18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 spans="1:1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 spans="1:18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 spans="1:18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spans="1:18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 spans="1:18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 spans="1:18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 spans="1:18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 spans="1:18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 spans="1:18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 spans="1:18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 spans="1:1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spans="1:18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 spans="1:18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 spans="1:18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 spans="1:18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 spans="1:18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 spans="1:18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 spans="1:18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 spans="1:18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 spans="1:18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 spans="1:1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 spans="1:18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 spans="1:18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 spans="1:18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 spans="1:18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spans="1:18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 spans="1:18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 spans="1:18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 spans="1:18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 spans="1:18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 spans="1:1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 spans="1:18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 spans="1:18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 spans="1:18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 spans="1:18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spans="1:18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 spans="1:18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spans="1:18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spans="1:18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spans="1:18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spans="1:1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spans="1:18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spans="1:18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spans="1:18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spans="1:18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 spans="1:18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 spans="1:18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 spans="1:18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 spans="1:18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 spans="1:18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 spans="1:1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 spans="1:18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 spans="1:18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 spans="1:18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 spans="1:18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spans="1:18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spans="1:18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 spans="1:18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 spans="1:18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spans="1:18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 spans="1: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 spans="1:18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 spans="1:18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 spans="1:18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 spans="1:18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 spans="1:18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 spans="1:18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spans="1:18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 spans="1:18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spans="1:18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spans="1:1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spans="1:18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spans="1:18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spans="1:18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spans="1:18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spans="1:18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spans="1:18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spans="1:18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spans="1:18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spans="1:18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spans="1:1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spans="1:18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spans="1:18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spans="1:18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spans="1:18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 spans="1:18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 spans="1:18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 spans="1:18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 spans="1:18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 spans="1:18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 spans="1:1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 spans="1:18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 spans="1:18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 spans="1:18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 spans="1:18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 spans="1:18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 spans="1:18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 spans="1:18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 spans="1:18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 spans="1:18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 spans="1:1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 spans="1:18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 spans="1:18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 spans="1:18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 spans="1:18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 spans="1:18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 spans="1:18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 spans="1:18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 spans="1:18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 spans="1:18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 spans="1:1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spans="1:18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 spans="1:18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 spans="1:18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 spans="1:18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 spans="1:18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 spans="1:18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 spans="1:18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 spans="1:18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 spans="1:18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 spans="1:1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 spans="1:18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 spans="1:18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 spans="1:18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 spans="1:18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 spans="1:18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 spans="1:18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 spans="1:18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 spans="1:18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 spans="1:18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 spans="1:1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 spans="1:18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 spans="1:18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 spans="1:18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 spans="1:18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 spans="1:18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spans="1:18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 spans="1:18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 spans="1:18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 spans="1:18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 spans="1:1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 spans="1:18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 spans="1:18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 spans="1:18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 spans="1:18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 spans="1:18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 spans="1:18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 spans="1:18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 spans="1:18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 spans="1:18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 spans="1:1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 spans="1:18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 spans="1:18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 spans="1:18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 spans="1:18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 spans="1:18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 spans="1:18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 spans="1:18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 spans="1:18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 spans="1:18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 spans="1: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 spans="1:18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 spans="1:18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 spans="1:18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 spans="1:18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 spans="1:18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 spans="1:18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 spans="1:18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 spans="1:18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 spans="1:18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 spans="1:1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 spans="1:18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 spans="1:18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 spans="1:18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 spans="1:18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 spans="1:18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 spans="1:18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 spans="1:18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 spans="1:18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 spans="1:18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 spans="1:1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 spans="1:18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 spans="1:18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 spans="1:18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 spans="1:18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 spans="1:18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 spans="1:18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 spans="1:18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 spans="1:18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 spans="1:18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 spans="1:1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 spans="1:18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 spans="1:18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 spans="1:18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 spans="1:18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 spans="1:18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 spans="1:18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 spans="1:18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 spans="1:18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 spans="1:18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 spans="1:1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 spans="1:18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 spans="1:18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 spans="1:18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 spans="1:18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 spans="1:18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 spans="1:18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 spans="1:18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 spans="1:18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 spans="1:18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 spans="1:1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 spans="1:18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 spans="1:18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 spans="1:18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 spans="1:18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 spans="1:18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 spans="1:18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 spans="1:18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 spans="1:18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 spans="1:18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 spans="1:1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 spans="1:18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 spans="1:18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 spans="1:18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 spans="1:18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 spans="1:18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 spans="1:18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 spans="1:18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 spans="1:18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 spans="1:18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 spans="1:1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 spans="1:18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 spans="1:18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 spans="1:18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</row>
    <row r="992" spans="1:18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</row>
    <row r="993" spans="1:18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</row>
    <row r="994" spans="1:18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</row>
    <row r="995" spans="1:18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</row>
    <row r="996" spans="1:18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</row>
    <row r="997" spans="1:18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</row>
    <row r="998" spans="1:1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</row>
    <row r="999" spans="1:18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</row>
    <row r="1000" spans="1:18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</row>
    <row r="1001" spans="1:18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</row>
    <row r="1002" spans="1:18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</row>
    <row r="1003" spans="1:18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</row>
    <row r="1004" spans="1:18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</row>
    <row r="1005" spans="1:18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</row>
    <row r="1006" spans="1:18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</sheetData>
  <mergeCells count="222">
    <mergeCell ref="A1:B1"/>
    <mergeCell ref="C1:Q1"/>
    <mergeCell ref="A2:B3"/>
    <mergeCell ref="C2:D2"/>
    <mergeCell ref="E2:F2"/>
    <mergeCell ref="H2:I2"/>
    <mergeCell ref="J2:M2"/>
    <mergeCell ref="N2:O2"/>
    <mergeCell ref="P2:Q2"/>
    <mergeCell ref="C3:D3"/>
    <mergeCell ref="A4:B5"/>
    <mergeCell ref="C4:H4"/>
    <mergeCell ref="I4:M4"/>
    <mergeCell ref="N4:Q4"/>
    <mergeCell ref="C5:H5"/>
    <mergeCell ref="I5:M5"/>
    <mergeCell ref="N5:Q5"/>
    <mergeCell ref="E3:F3"/>
    <mergeCell ref="H3:I3"/>
    <mergeCell ref="J3:K3"/>
    <mergeCell ref="L3:M3"/>
    <mergeCell ref="N3:O3"/>
    <mergeCell ref="P3:Q3"/>
    <mergeCell ref="C11:D11"/>
    <mergeCell ref="E11:Q11"/>
    <mergeCell ref="C12:N12"/>
    <mergeCell ref="O12:Q12"/>
    <mergeCell ref="C13:D13"/>
    <mergeCell ref="E13:N13"/>
    <mergeCell ref="O13:Q13"/>
    <mergeCell ref="A6:B6"/>
    <mergeCell ref="C6:Q6"/>
    <mergeCell ref="A7:B17"/>
    <mergeCell ref="C7:Q7"/>
    <mergeCell ref="C8:D8"/>
    <mergeCell ref="E8:Q8"/>
    <mergeCell ref="C9:D9"/>
    <mergeCell ref="E9:Q9"/>
    <mergeCell ref="C10:D10"/>
    <mergeCell ref="E10:Q10"/>
    <mergeCell ref="C16:D16"/>
    <mergeCell ref="E16:N16"/>
    <mergeCell ref="O16:Q16"/>
    <mergeCell ref="C17:D17"/>
    <mergeCell ref="E17:N17"/>
    <mergeCell ref="O17:Q17"/>
    <mergeCell ref="C14:D14"/>
    <mergeCell ref="E14:N14"/>
    <mergeCell ref="O14:Q14"/>
    <mergeCell ref="C15:D15"/>
    <mergeCell ref="E15:N15"/>
    <mergeCell ref="O15:Q15"/>
    <mergeCell ref="A18:B26"/>
    <mergeCell ref="C18:C20"/>
    <mergeCell ref="D18:N18"/>
    <mergeCell ref="O18:Q20"/>
    <mergeCell ref="D19:G19"/>
    <mergeCell ref="H19:L19"/>
    <mergeCell ref="M19:N19"/>
    <mergeCell ref="D20:E20"/>
    <mergeCell ref="F20:G20"/>
    <mergeCell ref="H20:I20"/>
    <mergeCell ref="O21:Q21"/>
    <mergeCell ref="D22:E22"/>
    <mergeCell ref="F22:G22"/>
    <mergeCell ref="H22:I22"/>
    <mergeCell ref="K22:L22"/>
    <mergeCell ref="M22:N22"/>
    <mergeCell ref="O22:Q22"/>
    <mergeCell ref="K20:L20"/>
    <mergeCell ref="M20:N20"/>
    <mergeCell ref="D21:E21"/>
    <mergeCell ref="F21:G21"/>
    <mergeCell ref="H21:I21"/>
    <mergeCell ref="K21:L21"/>
    <mergeCell ref="M21:N21"/>
    <mergeCell ref="D24:E24"/>
    <mergeCell ref="F24:G24"/>
    <mergeCell ref="H24:I24"/>
    <mergeCell ref="K24:L24"/>
    <mergeCell ref="M24:N24"/>
    <mergeCell ref="O24:Q24"/>
    <mergeCell ref="D23:E23"/>
    <mergeCell ref="F23:G23"/>
    <mergeCell ref="H23:I23"/>
    <mergeCell ref="K23:L23"/>
    <mergeCell ref="M23:N23"/>
    <mergeCell ref="O23:Q23"/>
    <mergeCell ref="D26:E26"/>
    <mergeCell ref="F26:G26"/>
    <mergeCell ref="H26:I26"/>
    <mergeCell ref="K26:L26"/>
    <mergeCell ref="M26:N26"/>
    <mergeCell ref="O26:Q26"/>
    <mergeCell ref="D25:E25"/>
    <mergeCell ref="F25:G25"/>
    <mergeCell ref="H25:I25"/>
    <mergeCell ref="K25:L25"/>
    <mergeCell ref="M25:N25"/>
    <mergeCell ref="O25:Q25"/>
    <mergeCell ref="A31:B32"/>
    <mergeCell ref="C31:J31"/>
    <mergeCell ref="K31:Q31"/>
    <mergeCell ref="C32:J32"/>
    <mergeCell ref="K32:Q32"/>
    <mergeCell ref="A33:B33"/>
    <mergeCell ref="C33:Q33"/>
    <mergeCell ref="A27:B30"/>
    <mergeCell ref="C27:E27"/>
    <mergeCell ref="F27:Q27"/>
    <mergeCell ref="C28:Q28"/>
    <mergeCell ref="C29:E29"/>
    <mergeCell ref="F29:Q29"/>
    <mergeCell ref="C30:Q30"/>
    <mergeCell ref="C39:E39"/>
    <mergeCell ref="F39:G39"/>
    <mergeCell ref="I39:J39"/>
    <mergeCell ref="K39:L39"/>
    <mergeCell ref="M39:N39"/>
    <mergeCell ref="O39:P39"/>
    <mergeCell ref="A34:B34"/>
    <mergeCell ref="C34:Q34"/>
    <mergeCell ref="A35:B35"/>
    <mergeCell ref="D35:Q35"/>
    <mergeCell ref="A36:B36"/>
    <mergeCell ref="D36:Q36"/>
    <mergeCell ref="C41:E41"/>
    <mergeCell ref="F41:G41"/>
    <mergeCell ref="I41:J41"/>
    <mergeCell ref="K41:L41"/>
    <mergeCell ref="M41:N41"/>
    <mergeCell ref="O41:P41"/>
    <mergeCell ref="C40:E40"/>
    <mergeCell ref="F40:G40"/>
    <mergeCell ref="I40:J40"/>
    <mergeCell ref="K40:L40"/>
    <mergeCell ref="M40:N40"/>
    <mergeCell ref="O40:P40"/>
    <mergeCell ref="C43:E43"/>
    <mergeCell ref="F43:G43"/>
    <mergeCell ref="I43:J43"/>
    <mergeCell ref="K43:L43"/>
    <mergeCell ref="M43:N43"/>
    <mergeCell ref="O43:P43"/>
    <mergeCell ref="C42:E42"/>
    <mergeCell ref="F42:G42"/>
    <mergeCell ref="I42:J42"/>
    <mergeCell ref="K42:L42"/>
    <mergeCell ref="M42:N42"/>
    <mergeCell ref="O42:P42"/>
    <mergeCell ref="C45:E45"/>
    <mergeCell ref="F45:G45"/>
    <mergeCell ref="I45:J45"/>
    <mergeCell ref="K45:L45"/>
    <mergeCell ref="M45:N45"/>
    <mergeCell ref="O45:P45"/>
    <mergeCell ref="C44:E44"/>
    <mergeCell ref="F44:G44"/>
    <mergeCell ref="I44:J44"/>
    <mergeCell ref="K44:L44"/>
    <mergeCell ref="M44:N44"/>
    <mergeCell ref="O44:P44"/>
    <mergeCell ref="C47:E47"/>
    <mergeCell ref="F47:G47"/>
    <mergeCell ref="I47:J47"/>
    <mergeCell ref="K47:L47"/>
    <mergeCell ref="M47:N47"/>
    <mergeCell ref="O47:P47"/>
    <mergeCell ref="C46:E46"/>
    <mergeCell ref="F46:G46"/>
    <mergeCell ref="I46:J46"/>
    <mergeCell ref="K46:L46"/>
    <mergeCell ref="M46:N46"/>
    <mergeCell ref="O46:P46"/>
    <mergeCell ref="C49:E49"/>
    <mergeCell ref="F49:G49"/>
    <mergeCell ref="I49:J49"/>
    <mergeCell ref="K49:L49"/>
    <mergeCell ref="M49:N49"/>
    <mergeCell ref="O49:P49"/>
    <mergeCell ref="C48:E48"/>
    <mergeCell ref="F48:G48"/>
    <mergeCell ref="I48:J48"/>
    <mergeCell ref="K48:L48"/>
    <mergeCell ref="M48:N48"/>
    <mergeCell ref="O48:P48"/>
    <mergeCell ref="C51:E51"/>
    <mergeCell ref="F51:G51"/>
    <mergeCell ref="I51:J51"/>
    <mergeCell ref="K51:L51"/>
    <mergeCell ref="M51:N51"/>
    <mergeCell ref="O51:P51"/>
    <mergeCell ref="C50:E50"/>
    <mergeCell ref="F50:G50"/>
    <mergeCell ref="I50:J50"/>
    <mergeCell ref="K50:L50"/>
    <mergeCell ref="M50:N50"/>
    <mergeCell ref="O50:P50"/>
    <mergeCell ref="C53:E53"/>
    <mergeCell ref="F53:G53"/>
    <mergeCell ref="I53:J53"/>
    <mergeCell ref="K53:L53"/>
    <mergeCell ref="M53:N53"/>
    <mergeCell ref="O53:P53"/>
    <mergeCell ref="C52:E52"/>
    <mergeCell ref="F52:G52"/>
    <mergeCell ref="I52:J52"/>
    <mergeCell ref="K52:L52"/>
    <mergeCell ref="M52:N52"/>
    <mergeCell ref="O52:P52"/>
    <mergeCell ref="C55:E55"/>
    <mergeCell ref="F55:G55"/>
    <mergeCell ref="I55:J55"/>
    <mergeCell ref="K55:L55"/>
    <mergeCell ref="M55:N55"/>
    <mergeCell ref="O55:P55"/>
    <mergeCell ref="C54:E54"/>
    <mergeCell ref="F54:G54"/>
    <mergeCell ref="I54:J54"/>
    <mergeCell ref="K54:L54"/>
    <mergeCell ref="M54:N54"/>
    <mergeCell ref="O54:P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G40</dc:creator>
  <cp:keywords/>
  <dc:description/>
  <cp:lastModifiedBy>kampusmerdeka</cp:lastModifiedBy>
  <cp:revision/>
  <dcterms:created xsi:type="dcterms:W3CDTF">2024-03-25T06:26:14Z</dcterms:created>
  <dcterms:modified xsi:type="dcterms:W3CDTF">2024-06-19T11:15:16Z</dcterms:modified>
  <cp:category/>
  <cp:contentStatus/>
</cp:coreProperties>
</file>